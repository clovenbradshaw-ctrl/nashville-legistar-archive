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ies" sheetId="1" state="visible" r:id="rId3"/>
    <sheet name="Summary" sheetId="2" state="visible" r:id="rId4"/>
  </sheets>
  <definedNames>
    <definedName function="false" hidden="true" localSheetId="0" name="_xlnm._FilterDatabase" vbProcedure="false">Counties!$A$1:$H$96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<sst xmlns="http://schemas.openxmlformats.org/spreadsheetml/2006/main" count="780" uniqueCount="497">
  <si>
    <t xml:space="preserve">County</t>
  </si>
  <si>
    <t xml:space="preserve">Official county site</t>
  </si>
  <si>
    <t xml:space="preserve">Where legislation lives (agendas, minutes, resolutions, code)</t>
  </si>
  <si>
    <t xml:space="preserve">Where contracts and bids live</t>
  </si>
  <si>
    <t xml:space="preserve">Platform(s)</t>
  </si>
  <si>
    <t xml:space="preserve">Verification</t>
  </si>
  <si>
    <t xml:space="preserve">Bids/purchasing online?</t>
  </si>
  <si>
    <t xml:space="preserve">Notes</t>
  </si>
  <si>
    <t xml:space="preserve">Anderson</t>
  </si>
  <si>
    <t xml:space="preserve">https://andersoncountytn.gov</t>
  </si>
  <si>
    <t xml:space="preserve">Agendas: andersoncountytn.gov/county-commission-meeting-agendas/ ; Minutes: andersoncountyclerk.com/commission/ ; Motion database: andersoncountytn.gov/commission-motion-database/</t>
  </si>
  <si>
    <t xml:space="preserve">andersoncountytn.gov/purchasing/ ; bids on BidNet Direct ; surplus GovDeals</t>
  </si>
  <si>
    <t xml:space="preserve">WordPress, BidNet Direct, GovDeals</t>
  </si>
  <si>
    <t xml:space="preserve">VERIFIED</t>
  </si>
  <si>
    <t xml:space="preserve">Yes</t>
  </si>
  <si>
    <t xml:space="preserve">Agenda packets back to 2020. Minutes site (clerk) not fetched. No executed contracts or code found.</t>
  </si>
  <si>
    <t xml:space="preserve">Bedford</t>
  </si>
  <si>
    <t xml:space="preserve">https://www.bedfordcountytn.gov</t>
  </si>
  <si>
    <t xml:space="preserve">bedfordcountytn.gov/government/boards_and_members/county_board_meetings/board_of_commissioners_meetings.php (agendas, packets, minutes 2019 to date)</t>
  </si>
  <si>
    <t xml:space="preserve">bedfordcountytn.gov/community/bid_opportunities.php (lists awards back to 2020)</t>
  </si>
  <si>
    <t xml:space="preserve">Revize, PDFs, YouTube</t>
  </si>
  <si>
    <t xml:space="preserve">Minutes lag; older items are audio. No executed contracts; no code.</t>
  </si>
  <si>
    <t xml:space="preserve">Benton</t>
  </si>
  <si>
    <t xml:space="preserve">https://bentoncountytn.gov</t>
  </si>
  <si>
    <t xml:space="preserve">bentoncountytn.gov/commission_agendas_minutes.html (2018 to 2026, no 2023 section)</t>
  </si>
  <si>
    <t xml:space="preserve">NOT FOUND ONLINE</t>
  </si>
  <si>
    <t xml:space="preserve">Static HTML, PDFs</t>
  </si>
  <si>
    <t xml:space="preserve">No</t>
  </si>
  <si>
    <t xml:space="preserve">Missing items marked Not Available.</t>
  </si>
  <si>
    <t xml:space="preserve">Bledsoe</t>
  </si>
  <si>
    <t xml:space="preserve">https://bledsoetn.com (ownership not confirmed; CTAS lists a chamber site)</t>
  </si>
  <si>
    <t xml:space="preserve">Minutes: bledsoetn.com/county-commission-minutes-2/ (2021 to 2023 only) ; agendas: bledsoetn.com/public-notice/</t>
  </si>
  <si>
    <t xml:space="preserve">WordPress-style, PDFs</t>
  </si>
  <si>
    <t xml:space="preserve">PARTIAL</t>
  </si>
  <si>
    <t xml:space="preserve">Official status of site unconfirmed.</t>
  </si>
  <si>
    <t xml:space="preserve">Blount</t>
  </si>
  <si>
    <t xml:space="preserve">https://www.blounttn.gov</t>
  </si>
  <si>
    <t xml:space="preserve">CivicPlus: Calendar, DocumentCenter, Archive Center (e.g. Archive.aspx?ADID=224). Exact current agenda page not captured</t>
  </si>
  <si>
    <t xml:space="preserve">blounttn.gov/165/Purchasing (Purchasing Agent; Purchasing Commission); no portal or open bids listed</t>
  </si>
  <si>
    <t xml:space="preserve">CivicPlus</t>
  </si>
  <si>
    <t xml:space="preserve">Partial</t>
  </si>
  <si>
    <t xml:space="preserve">CTAS lists blounttn.org, a different domain. Archive packets are scanned PDFs.</t>
  </si>
  <si>
    <t xml:space="preserve">Bradley</t>
  </si>
  <si>
    <t xml:space="preserve">https://www.bradleycountytn.gov</t>
  </si>
  <si>
    <t xml:space="preserve">bradleycountytn.gov/county-government/county-commission/ (agendas and minutes 4/2022 to 10/2026)</t>
  </si>
  <si>
    <t xml:space="preserve">NOT FOUND ONLINE (Accounting dept page is the closest)</t>
  </si>
  <si>
    <t xml:space="preserve">WordPress, PDFs, YouTube</t>
  </si>
  <si>
    <t xml:space="preserve">Some minutes in pptx/docx; some 2025 agendas redacted.</t>
  </si>
  <si>
    <t xml:space="preserve">Campbell</t>
  </si>
  <si>
    <t xml:space="preserve">https://campbellcountytn.gov</t>
  </si>
  <si>
    <t xml:space="preserve">campbellcountytn.gov/agendas-and-minutes/ (2026 only; packets on Dropbox)</t>
  </si>
  <si>
    <t xml:space="preserve">WordPress, Dropbox</t>
  </si>
  <si>
    <t xml:space="preserve">No minutes online; older records by request.</t>
  </si>
  <si>
    <t xml:space="preserve">Cannon</t>
  </si>
  <si>
    <t xml:space="preserve">https://www.cannoncountytn.gov</t>
  </si>
  <si>
    <t xml:space="preserve">Video only: cannoncountytn.gov/recorded-county-meetings/ (YouTube from March 2023)</t>
  </si>
  <si>
    <t xml:space="preserve">cannoncountytn.gov/bids/ (4 PDFs, no platform)</t>
  </si>
  <si>
    <t xml:space="preserve">WordPress, YouTube</t>
  </si>
  <si>
    <t xml:space="preserve">No written agendas or minutes online.</t>
  </si>
  <si>
    <t xml:space="preserve">Carroll</t>
  </si>
  <si>
    <t xml:space="preserve">https://www.carrollcountytn.gov</t>
  </si>
  <si>
    <t xml:space="preserve">carrollcountytn.gov/county_commission.html (schedule only; no documents)</t>
  </si>
  <si>
    <t xml:space="preserve">Static HTML</t>
  </si>
  <si>
    <t xml:space="preserve">Carter</t>
  </si>
  <si>
    <t xml:space="preserve">https://www.cartercountytn.gov</t>
  </si>
  <si>
    <t xml:space="preserve">cartercountytn.gov/government/agendas_and_minutes/monthly_minutes_agenda.php</t>
  </si>
  <si>
    <t xml:space="preserve">cartercountytn.gov/public_documents/bids.php</t>
  </si>
  <si>
    <t xml:space="preserve">Revize</t>
  </si>
  <si>
    <t xml:space="preserve">Only one bid posted at time of check.</t>
  </si>
  <si>
    <t xml:space="preserve">Cheatham</t>
  </si>
  <si>
    <t xml:space="preserve">https://www.cheathamcountytn.gov</t>
  </si>
  <si>
    <t xml:space="preserve">cheathamcountytn.gov/minutes_agendas.html (2017 to 2027)</t>
  </si>
  <si>
    <t xml:space="preserve">Bid notice PDFs only (assets/pdfs/bid_notice.pdf); no portal page</t>
  </si>
  <si>
    <t xml:space="preserve">Static HTML, PDFs, YouTube</t>
  </si>
  <si>
    <t xml:space="preserve">Some minutes docx or marked draft.</t>
  </si>
  <si>
    <t xml:space="preserve">Chester</t>
  </si>
  <si>
    <t xml:space="preserve">https://chestercountytn.org</t>
  </si>
  <si>
    <t xml:space="preserve">chestercountytn.org/county_commission.html (no documents linked)</t>
  </si>
  <si>
    <t xml:space="preserve">Only a Budget Committee agenda PDF found.</t>
  </si>
  <si>
    <t xml:space="preserve">Claiborne</t>
  </si>
  <si>
    <t xml:space="preserve">https://www.claibornecountytn.gov</t>
  </si>
  <si>
    <t xml:space="preserve">claibornecountytn.gov/countyoffices/county-commission/ (current items; older on a Previous Commission Meetings page)</t>
  </si>
  <si>
    <t xml:space="preserve">WordPress</t>
  </si>
  <si>
    <t xml:space="preserve">Clay</t>
  </si>
  <si>
    <t xml:space="preserve">https://www.claycountytngov.com</t>
  </si>
  <si>
    <t xml:space="preserve">Agendas: claycountytngov.com/new-page ; minutes: /new-page-1 (not fetched)</t>
  </si>
  <si>
    <t xml:space="preserve">Hosted site builder</t>
  </si>
  <si>
    <t xml:space="preserve">Only the current agenda; no archive.</t>
  </si>
  <si>
    <t xml:space="preserve">Cocke</t>
  </si>
  <si>
    <t xml:space="preserve">https://www.cockecountytn.gov</t>
  </si>
  <si>
    <t xml:space="preserve">cockecountytn.gov/clb-1 (agendas Jan 2025 to Sep 2026; minutes 2025 only) ; resolutions: /proposed-ordinances ; /public-meetings</t>
  </si>
  <si>
    <t xml:space="preserve">cockecountytn.gov/bids (several bids and addenda)</t>
  </si>
  <si>
    <t xml:space="preserve">Website builder, PDFs</t>
  </si>
  <si>
    <t xml:space="preserve">No 2026 minutes.</t>
  </si>
  <si>
    <t xml:space="preserve">Coffee</t>
  </si>
  <si>
    <t xml:space="preserve">https://www.coffeecountytn.gov</t>
  </si>
  <si>
    <t xml:space="preserve">CivicPlus AgendaCenter: coffeecountytn.gov/AgendaCenter (agendas 2025 to 2026)</t>
  </si>
  <si>
    <t xml:space="preserve">Likely CivicPlus Bids.aspx (unconfirmed); GovDeals surplus</t>
  </si>
  <si>
    <t xml:space="preserve">CivicPlus, GovDeals</t>
  </si>
  <si>
    <t xml:space="preserve">CTAS lists coffeecountytn.org, not used.</t>
  </si>
  <si>
    <t xml:space="preserve">Crockett</t>
  </si>
  <si>
    <t xml:space="preserve">NOT FOUND (CTAS lists a chamber site)</t>
  </si>
  <si>
    <t xml:space="preserve">n/a</t>
  </si>
  <si>
    <t xml:space="preserve">NOT FOUND</t>
  </si>
  <si>
    <t xml:space="preserve">No county government site located.</t>
  </si>
  <si>
    <t xml:space="preserve">Cumberland</t>
  </si>
  <si>
    <t xml:space="preserve">https://cumberlandcountytn.gov</t>
  </si>
  <si>
    <t xml:space="preserve">cumberlandcountytn.gov/document-category/documentsofinterest/ ; /documents/ (agenda PDFs with numbered resolutions)</t>
  </si>
  <si>
    <t xml:space="preserve">NOT FOUND ONLINE (Finance dept page link seen only)</t>
  </si>
  <si>
    <t xml:space="preserve">WordPress, PDFs</t>
  </si>
  <si>
    <t xml:space="preserve">Minutes page not confirmed.</t>
  </si>
  <si>
    <t xml:space="preserve">Davidson (Metro Nashville)</t>
  </si>
  <si>
    <t xml:space="preserve">https://www.nashville.gov</t>
  </si>
  <si>
    <t xml:space="preserve">Legistar: nashville.legistar.com ; Metro Clerk: nashville.gov/departments/metro-clerk ; archive: legisarchive.nashville.gov ; Metro Code on Municode (URL not captured)</t>
  </si>
  <si>
    <t xml:space="preserve">Procurement: nashville.gov/departments/Finance/Procurement ; open solicitations in Oracle Cloud ; awards and PO info FY2016 to 2026: nashville.gov/departments/finance/procurement/contract-and-po-award-info ; contract copies request form: documents.nashville.gov/Request/Form/Contracts</t>
  </si>
  <si>
    <t xml:space="preserve">Legistar, Oracle Cloud, documents.nashville.gov</t>
  </si>
  <si>
    <t xml:space="preserve">Best contract transparency in the state; copies of contracts by request form, not a full search.</t>
  </si>
  <si>
    <t xml:space="preserve">Decatur</t>
  </si>
  <si>
    <t xml:space="preserve">https://decaturcountytn.gov</t>
  </si>
  <si>
    <t xml:space="preserve">decaturcountytn.gov/official-notices/ (agenda PDFs 2023 to Sep 2026)</t>
  </si>
  <si>
    <t xml:space="preserve">CTAS .org URL is not the live site.</t>
  </si>
  <si>
    <t xml:space="preserve">DeKalb</t>
  </si>
  <si>
    <t xml:space="preserve">https://www.dekalbtennessee.com</t>
  </si>
  <si>
    <t xml:space="preserve">dekalbtennessee.com/commission-meetings.html (2026 agendas; minutes Feb and Mar 2026; older under Past Commission Meetings)</t>
  </si>
  <si>
    <t xml:space="preserve">Weebly-style, PDFs</t>
  </si>
  <si>
    <t xml:space="preserve">Minutes lag agendas.</t>
  </si>
  <si>
    <t xml:space="preserve">Dickson</t>
  </si>
  <si>
    <t xml:space="preserve">https://www.dicksoncountytn.gov</t>
  </si>
  <si>
    <t xml:space="preserve">dicksoncountytn.gov/minutes_agendas.html (2024 to 2026; PDFs back to 2019)</t>
  </si>
  <si>
    <t xml:space="preserve">Some minutes Not Available; work-session minutes unavailable.</t>
  </si>
  <si>
    <t xml:space="preserve">Dyer</t>
  </si>
  <si>
    <t xml:space="preserve">https://www.dyercounty.com</t>
  </si>
  <si>
    <t xml:space="preserve">dyercounty.com/meeting-minutes (committee minutes 2025 to 2026) ; /empty-meeting-agendas</t>
  </si>
  <si>
    <t xml:space="preserve">dyercounty.com/request-for-proposal (six undated RFP PDFs)</t>
  </si>
  <si>
    <t xml:space="preserve">County site PDFs</t>
  </si>
  <si>
    <t xml:space="preserve">CTAS domain dyercountygov.com is dead. Full-commission minutes not seen.</t>
  </si>
  <si>
    <t xml:space="preserve">Fayette</t>
  </si>
  <si>
    <t xml:space="preserve">https://fayettetn.us</t>
  </si>
  <si>
    <t xml:space="preserve">CivicClerk: fayettecotn.portal.civicclerk.com ; county page fayettetn.us/county-commission/ (PDFs 2022 to 2024)</t>
  </si>
  <si>
    <t xml:space="preserve">fayettetn.us/county-information/rfp-opportunities/ (one 2025 RFP)</t>
  </si>
  <si>
    <t xml:space="preserve">CivicClerk, WordPress</t>
  </si>
  <si>
    <t xml:space="preserve">CivicClerk link not opened.</t>
  </si>
  <si>
    <t xml:space="preserve">Fentress</t>
  </si>
  <si>
    <t xml:space="preserve">https://fentresscountytn.gov</t>
  </si>
  <si>
    <t xml:space="preserve">fentresscountytn.gov/minutes-and-resolutions/ (year tabs; contents not visible) ; /county-notices/</t>
  </si>
  <si>
    <t xml:space="preserve">Unclear whether recent minutes are populated.</t>
  </si>
  <si>
    <t xml:space="preserve">Franklin</t>
  </si>
  <si>
    <t xml:space="preserve">https://www.franklincotn.us</t>
  </si>
  <si>
    <t xml:space="preserve">franklincotn.us/agendas_minutes_commission.html (2024 to 2026)</t>
  </si>
  <si>
    <t xml:space="preserve">NOT FOUND ONLINE (Mayor's Office handles)</t>
  </si>
  <si>
    <t xml:space="preserve">Static site, PDFs</t>
  </si>
  <si>
    <t xml:space="preserve">Gibson</t>
  </si>
  <si>
    <t xml:space="preserve">https://gibsontn.org</t>
  </si>
  <si>
    <t xml:space="preserve">gibsontn.org/county-government/county-commission (agendas Jan 2025 to May 2026)</t>
  </si>
  <si>
    <t xml:space="preserve">CTAS gibsoncountytn.com is the chamber. No minutes posted.</t>
  </si>
  <si>
    <t xml:space="preserve">Giles</t>
  </si>
  <si>
    <t xml:space="preserve">https://gilescountytn.gov</t>
  </si>
  <si>
    <t xml:space="preserve">Minutes as news posts: gilescountytn.gov/news-meeting-minutes/ ; /category/committee-minutes/</t>
  </si>
  <si>
    <t xml:space="preserve">gilescountytn.gov/category/bid-invitations/ (postings through Sep 2026)</t>
  </si>
  <si>
    <t xml:space="preserve">Most active site in batch. Sealed bids, no portal.</t>
  </si>
  <si>
    <t xml:space="preserve">Grainger</t>
  </si>
  <si>
    <t xml:space="preserve">https://www.graingercountytn.com</t>
  </si>
  <si>
    <t xml:space="preserve">Separate site: graingercountycommission.com (agendas; /minutes/)</t>
  </si>
  <si>
    <t xml:space="preserve">Two county sites</t>
  </si>
  <si>
    <t xml:space="preserve">Minutes archive not opened.</t>
  </si>
  <si>
    <t xml:space="preserve">Greene</t>
  </si>
  <si>
    <t xml:space="preserve">https://www.greenecountytngov.com</t>
  </si>
  <si>
    <t xml:space="preserve">WordPress PDFs (agendas, packets, minutes under /wp-content/uploads/); index page not located</t>
  </si>
  <si>
    <t xml:space="preserve">greenecountytngov.com/purchasing/ ; bids on PublicPurchase ; surplus GovDeals</t>
  </si>
  <si>
    <t xml:space="preserve">WordPress, PublicPurchase, GovDeals</t>
  </si>
  <si>
    <t xml:space="preserve">Real purchasing office; sealed bids in person.</t>
  </si>
  <si>
    <t xml:space="preserve">Grundy</t>
  </si>
  <si>
    <t xml:space="preserve">https://www.grundycountytn.net</t>
  </si>
  <si>
    <t xml:space="preserve">Static site</t>
  </si>
  <si>
    <t xml:space="preserve">Only officials page.</t>
  </si>
  <si>
    <t xml:space="preserve">Hamblen</t>
  </si>
  <si>
    <t xml:space="preserve">https://hamblencountytn.gov</t>
  </si>
  <si>
    <t xml:space="preserve">hamblencountytn.gov/meeting-packets/ (agendas only) ; /meeting-recordings/</t>
  </si>
  <si>
    <t xml:space="preserve">hamblencountytn.gov/proposals-bids/</t>
  </si>
  <si>
    <t xml:space="preserve">No minutes or resolutions found.</t>
  </si>
  <si>
    <t xml:space="preserve">Hamilton</t>
  </si>
  <si>
    <t xml:space="preserve">https://www.hamiltontn.gov</t>
  </si>
  <si>
    <t xml:space="preserve">hamiltontn.gov/CountyCommission_Minutes.aspx (2025 to 2026, PDF plus MP3) ; resolution search: resolutions.hamiltontn.gov/ResolutionSearch/ResolutionSearch.aspx ; /CurrentAgenda.aspx</t>
  </si>
  <si>
    <t xml:space="preserve">hamiltontn.gov/Department_Procurement.aspx ; PlanetBids: vendors.planetbids.com/portal/78083/portal-home ; procurement rules PDF</t>
  </si>
  <si>
    <t xml:space="preserve">PlanetBids, ASP.NET, resolution database</t>
  </si>
  <si>
    <t xml:space="preserve">Most developed county system. Awards posting not confirmed.</t>
  </si>
  <si>
    <t xml:space="preserve">Hancock</t>
  </si>
  <si>
    <t xml:space="preserve">https://www.hancockcountytn.com</t>
  </si>
  <si>
    <t xml:space="preserve">hancockcountytn.com/local_public_service_directory/county_commission.php (meeting dates only)</t>
  </si>
  <si>
    <t xml:space="preserve">PHP site</t>
  </si>
  <si>
    <t xml:space="preserve">Hardeman</t>
  </si>
  <si>
    <t xml:space="preserve">https://hardemancounty.org</t>
  </si>
  <si>
    <t xml:space="preserve">hardemancounty.org/government/agendas-minutes/ (2020 to 2026)</t>
  </si>
  <si>
    <t xml:space="preserve">2021 to 2023 incomplete.</t>
  </si>
  <si>
    <t xml:space="preserve">Hardin</t>
  </si>
  <si>
    <t xml:space="preserve">https://www.hardincogov.com</t>
  </si>
  <si>
    <t xml:space="preserve">No archive; sample agenda PDF in /wp-content/uploads/2024/05/ ; 2026 schedule PDF</t>
  </si>
  <si>
    <t xml:space="preserve">NOT FOUND ONLINE (Accounting page: hardincogov.com/hardin-county-accounting-department/)</t>
  </si>
  <si>
    <t xml:space="preserve">CTAS tourhardincounty.org is tourism.</t>
  </si>
  <si>
    <t xml:space="preserve">Hawkins</t>
  </si>
  <si>
    <t xml:space="preserve">https://www.hawkinscountytn.gov</t>
  </si>
  <si>
    <t xml:space="preserve">hawkinscountytn.gov/minutes_agendas.html ; Clerk site: hawkinscountyclerk.com/commission-information/ (minutes, agendas and resolutions by year 2007 to 2026)</t>
  </si>
  <si>
    <t xml:space="preserve">Static site plus separate Clerk site</t>
  </si>
  <si>
    <t xml:space="preserve">Deepest archive in batch including resolutions.</t>
  </si>
  <si>
    <t xml:space="preserve">Haywood</t>
  </si>
  <si>
    <t xml:space="preserve">https://haywoodtn.gov</t>
  </si>
  <si>
    <t xml:space="preserve">haywoodtn.gov/government/county-commission/ ; meeting notice posts; committee minutes only</t>
  </si>
  <si>
    <t xml:space="preserve">Scanned images; full-commission minutes not found.</t>
  </si>
  <si>
    <t xml:space="preserve">Henderson</t>
  </si>
  <si>
    <t xml:space="preserve">https://www.hendersoncountytn.gov</t>
  </si>
  <si>
    <t xml:space="preserve">Agendas in Google Drive folder (drive.google.com/drive/folders/1blN8rLS_DJSjJPocfD5pNAABzXY9GMaQ) ; minutes likely via County Clerk page</t>
  </si>
  <si>
    <t xml:space="preserve">hendersoncountytn.gov/finance-department-f9304ed4/bid-opportunities-fdc85159 (paper bids; none listed)</t>
  </si>
  <si>
    <t xml:space="preserve">SchoolBlocks CMS, Google Drive</t>
  </si>
  <si>
    <t xml:space="preserve">Minutes location unconfirmed.</t>
  </si>
  <si>
    <t xml:space="preserve">Henry</t>
  </si>
  <si>
    <t xml:space="preserve">https://henrycountytn.gov</t>
  </si>
  <si>
    <t xml:space="preserve">NOT FOUND ONLINE (site says agendas exist; paths not captured)</t>
  </si>
  <si>
    <t xml:space="preserve">Unknown</t>
  </si>
  <si>
    <t xml:space="preserve">Needs manual look. CTAS .org redirects to .gov.</t>
  </si>
  <si>
    <t xml:space="preserve">Hickman</t>
  </si>
  <si>
    <t xml:space="preserve">https://hickmancountytn.gov</t>
  </si>
  <si>
    <t xml:space="preserve">hickmancountytn.gov/government/agendas (packets mostly Dropbox links, 2023 to 2026)</t>
  </si>
  <si>
    <t xml:space="preserve">hickmancountytn.gov/resources/rfp-bids</t>
  </si>
  <si>
    <t xml:space="preserve">County CMS, Dropbox</t>
  </si>
  <si>
    <t xml:space="preserve">Some Dropbox links broken. No minutes listed.</t>
  </si>
  <si>
    <t xml:space="preserve">Houston</t>
  </si>
  <si>
    <t xml:space="preserve">https://www.houstoncountytn.gov</t>
  </si>
  <si>
    <t xml:space="preserve">houstoncountytn.gov/legislative-body-meetings (2023 to early 2025, spotty)</t>
  </si>
  <si>
    <t xml:space="preserve">Open Bids link points only to homepage; sample RFQ PDF</t>
  </si>
  <si>
    <t xml:space="preserve">Wix, YouTube</t>
  </si>
  <si>
    <t xml:space="preserve">CTAS houstoncochamber.com is a chamber.</t>
  </si>
  <si>
    <t xml:space="preserve">Humphreys</t>
  </si>
  <si>
    <t xml:space="preserve">https://www.humphreyscountytn.gov</t>
  </si>
  <si>
    <t xml:space="preserve">humphreyscountytn.gov/agendas.html (agendas 2023 to Oct 2026; no minutes)</t>
  </si>
  <si>
    <t xml:space="preserve">Signed agendas by email to clerk.</t>
  </si>
  <si>
    <t xml:space="preserve">Jackson</t>
  </si>
  <si>
    <t xml:space="preserve">https://jacksoncountytn.gov</t>
  </si>
  <si>
    <t xml:space="preserve">jacksoncountytn.gov/government/commissioners/ (2026 agendas and minutes; YouTube)</t>
  </si>
  <si>
    <t xml:space="preserve">Ravenflight CMS, YouTube</t>
  </si>
  <si>
    <t xml:space="preserve">Only 2026.</t>
  </si>
  <si>
    <t xml:space="preserve">Jefferson</t>
  </si>
  <si>
    <t xml:space="preserve">https://jeffersoncountytn.gov</t>
  </si>
  <si>
    <t xml:space="preserve">jeffersoncountytn.gov/county-commission/ ; archive in a shared Dropbox folder; county says agendas and minutes available by records request</t>
  </si>
  <si>
    <t xml:space="preserve">jeffersoncountytn.gov/finance-department/#bids-rfps (paper bids)</t>
  </si>
  <si>
    <t xml:space="preserve">Bid award section empty.</t>
  </si>
  <si>
    <t xml:space="preserve">Johnson</t>
  </si>
  <si>
    <t xml:space="preserve">https://www.johnsoncountytn.gov</t>
  </si>
  <si>
    <t xml:space="preserve">johnsoncountytn.gov/current-public-records (2026) ; archives: /copy-of-public-records (2025), /copy-of-public-records-2023-archive (2024), /public-records (2022 to 2023)</t>
  </si>
  <si>
    <t xml:space="preserve">johnsoncountytn.gov/purchasing-department ; Vendor Registry bids list ; GovDeals surplus</t>
  </si>
  <si>
    <t xml:space="preserve">Wix, Vendor Registry, GovDeals</t>
  </si>
  <si>
    <t xml:space="preserve">Earlier years not available electronically.</t>
  </si>
  <si>
    <t xml:space="preserve">Knox</t>
  </si>
  <si>
    <t xml:space="preserve">https://www.knoxcounty.org</t>
  </si>
  <si>
    <t xml:space="preserve">Agendas: public.destinyhosted.com/agenda_publish.cfm?id=56691 ; minutes (Clerk): knoxcounty.org/clerk/commission_minutes.php (2007 to 2026, 1989 to 2006 archive) ; video KnoxCM.org ; Charter on Municode</t>
  </si>
  <si>
    <t xml:space="preserve">knoxcounty.org/apps/solicitations/solicitations.php ; awards: /apps/solicitations/recent_awards.php ; knoxcounty.org/purchasing/</t>
  </si>
  <si>
    <t xml:space="preserve">Destiny Hosted, BuySpeed, Municode (Charter only)</t>
  </si>
  <si>
    <t xml:space="preserve">Commission approves contracts over $100,000. No contract search found.</t>
  </si>
  <si>
    <t xml:space="preserve">Lake</t>
  </si>
  <si>
    <t xml:space="preserve">https://lakecountytn.gov</t>
  </si>
  <si>
    <t xml:space="preserve">Meeting schedule only: lakecountytn.gov/government/commissions-and-boards/county-commission</t>
  </si>
  <si>
    <t xml:space="preserve">Bids as PDFs on lakecountytn.gov/news/public-notices</t>
  </si>
  <si>
    <t xml:space="preserve">Tencom CMS</t>
  </si>
  <si>
    <t xml:space="preserve">No agendas or minutes online.</t>
  </si>
  <si>
    <t xml:space="preserve">Lauderdale</t>
  </si>
  <si>
    <t xml:space="preserve">NOT FOUND (CTAS URL is a chamber-style directory; lauderdaletn.gov unverified)</t>
  </si>
  <si>
    <t xml:space="preserve">Fetch of lauderdaletn.gov was blocked.</t>
  </si>
  <si>
    <t xml:space="preserve">Lawrence</t>
  </si>
  <si>
    <t xml:space="preserve">https://lawrencecountytn.gov</t>
  </si>
  <si>
    <t xml:space="preserve">lawrencecountytn.gov/government/open-records/meeting-minutes/ (2025 by committee) ; agendas as news posts</t>
  </si>
  <si>
    <t xml:space="preserve">Bids as news posts; packets from Office of Accounts and Budgets</t>
  </si>
  <si>
    <t xml:space="preserve">WordPress-style</t>
  </si>
  <si>
    <t xml:space="preserve">Paper bids.</t>
  </si>
  <si>
    <t xml:space="preserve">Lewis</t>
  </si>
  <si>
    <t xml:space="preserve">https://www.lewiscountytn.com</t>
  </si>
  <si>
    <t xml:space="preserve">Agendas as blog posts (Oct 2025 to Jul 2026); budgets on /county-commission</t>
  </si>
  <si>
    <t xml:space="preserve">Wix</t>
  </si>
  <si>
    <t xml:space="preserve">Minutes not linked.</t>
  </si>
  <si>
    <t xml:space="preserve">Lincoln</t>
  </si>
  <si>
    <t xml:space="preserve">https://lincolncountytn.gov</t>
  </si>
  <si>
    <t xml:space="preserve">lincolncountytn.gov/document_hub/agendas_minutes.php (minutes about Jan 2025 to Aug 2026)</t>
  </si>
  <si>
    <t xml:space="preserve">Revize, YouTube</t>
  </si>
  <si>
    <t xml:space="preserve">Loudon</t>
  </si>
  <si>
    <t xml:space="preserve">https://loudoncounty-tn.gov</t>
  </si>
  <si>
    <t xml:space="preserve">loudoncounty-tn.gov/meeting-documents/ (packets 2008 to Oct 2026; minutes about 2023 on) ; /county-commission-meeting-minutes-archive/</t>
  </si>
  <si>
    <t xml:space="preserve">loudoncounty-tn.gov/purchasing/ (Bid Solicitations; page not opened)</t>
  </si>
  <si>
    <t xml:space="preserve">Packets include resolutions.</t>
  </si>
  <si>
    <t xml:space="preserve">Macon</t>
  </si>
  <si>
    <t xml:space="preserve">https://www.maconcountytn.gov</t>
  </si>
  <si>
    <t xml:space="preserve">maconcountytn.gov/government/county_commission/minutes.php (minutes 2023 to 2026; agendas 2024 to 2026)</t>
  </si>
  <si>
    <t xml:space="preserve">Madison</t>
  </si>
  <si>
    <t xml:space="preserve">https://www.madisoncountytn.gov</t>
  </si>
  <si>
    <t xml:space="preserve">NOT FOUND ONLINE (site fetch blocked by robots)</t>
  </si>
  <si>
    <t xml:space="preserve">NOT FOUND ONLINE (blocked)</t>
  </si>
  <si>
    <t xml:space="preserve">Needs manual check in a browser.</t>
  </si>
  <si>
    <t xml:space="preserve">Marion</t>
  </si>
  <si>
    <t xml:space="preserve">https://marioncountytn.net</t>
  </si>
  <si>
    <t xml:space="preserve">marioncountytn.net/agendas-minutes (page fetch blocked; contents unseen)</t>
  </si>
  <si>
    <t xml:space="preserve">Squarespace</t>
  </si>
  <si>
    <t xml:space="preserve">Marshall</t>
  </si>
  <si>
    <t xml:space="preserve">https://www.marshallcountytn.gov</t>
  </si>
  <si>
    <t xml:space="preserve">marshallcountytn.gov/county-commission-minutes links to state clerk portal secure.tncountyclerk.com (county ID 59)</t>
  </si>
  <si>
    <t xml:space="preserve">marshallcountytn.gov/bids (Budget Office; none listed) ; Open Bids and Vendor Registration links not opened</t>
  </si>
  <si>
    <t xml:space="preserve">County site, TN county clerk minutes portal</t>
  </si>
  <si>
    <t xml:space="preserve">Resolutions filed by clerk.</t>
  </si>
  <si>
    <t xml:space="preserve">Maury</t>
  </si>
  <si>
    <t xml:space="preserve">https://www.maurycounty-tn.gov</t>
  </si>
  <si>
    <t xml:space="preserve">NOT FOUND ONLINE (site fetch blocked)</t>
  </si>
  <si>
    <t xml:space="preserve">NOT FOUND ONLINE (aggregators scrape Maury bids; no county portal seen)</t>
  </si>
  <si>
    <t xml:space="preserve">McMinn</t>
  </si>
  <si>
    <t xml:space="preserve">https://www.mcminncountytn.gov</t>
  </si>
  <si>
    <t xml:space="preserve">mcminncountytn.gov/county_commission_minutes.html (agendas and minutes; archive to 2015)</t>
  </si>
  <si>
    <t xml:space="preserve">NOT FOUND ONLINE (Mayor's Office)</t>
  </si>
  <si>
    <t xml:space="preserve">Some 2025 agendas missing.</t>
  </si>
  <si>
    <t xml:space="preserve">McNairy</t>
  </si>
  <si>
    <t xml:space="preserve">https://www.mcnairycountytn.org</t>
  </si>
  <si>
    <t xml:space="preserve">mcnairycountytn.org/news--agendas.html (listing did not render) ; county-clerk.html</t>
  </si>
  <si>
    <t xml:space="preserve">Self-hosted</t>
  </si>
  <si>
    <t xml:space="preserve">Meigs</t>
  </si>
  <si>
    <t xml:space="preserve">https://www.meigscountytn.org</t>
  </si>
  <si>
    <t xml:space="preserve">meigscountytn.org/county-commission/agenda-for-the-month ; /commission-minutes (points to state clerk portal secure.tncountyclerk.com/minutesSearch/index.php) ; /commission-digital-archive ; /committee-agendas</t>
  </si>
  <si>
    <t xml:space="preserve">meigscountytn.org/directory-pages/finance/solicitations (Google Drive files)</t>
  </si>
  <si>
    <t xml:space="preserve">Google Sites, Google Drive, YouTube, state clerk portal</t>
  </si>
  <si>
    <t xml:space="preserve">Monroe</t>
  </si>
  <si>
    <t xml:space="preserve">https://monroetn.gov</t>
  </si>
  <si>
    <t xml:space="preserve">monroetn.gov/county-commission-agenda/ ; /county-commission-minutes/ (Aug 2024 to Aug 2026, older via Load More)</t>
  </si>
  <si>
    <t xml:space="preserve">monroetn.gov/monroe-county-on-line-bid-system/ (BidNet Direct)</t>
  </si>
  <si>
    <t xml:space="preserve">WordPress, BidNet Direct, YouTube</t>
  </si>
  <si>
    <t xml:space="preserve">CTAS monroetn.com not the live domain.</t>
  </si>
  <si>
    <t xml:space="preserve">Montgomery</t>
  </si>
  <si>
    <t xml:space="preserve">https://montgomerytn.gov</t>
  </si>
  <si>
    <t xml:space="preserve">montgomerytn.gov/commission ; /commission/agenda ; minutes search: montgomeryminutes.bisonline.com ; archive to 2016</t>
  </si>
  <si>
    <t xml:space="preserve">montgomerytn.gov/purchasing ; Bonfire: mcgtn.bonfirehub.com/portal/ ; Current and Past Bids archive</t>
  </si>
  <si>
    <t xml:space="preserve">Bonfire, BIS minutes search, Drupal</t>
  </si>
  <si>
    <t xml:space="preserve">Old domain mcgtn.org also live. No codified code found.</t>
  </si>
  <si>
    <t xml:space="preserve">Moore (Metro Moore)</t>
  </si>
  <si>
    <t xml:space="preserve">https://metromoorecounty.org</t>
  </si>
  <si>
    <t xml:space="preserve">NOT FOUND ONLINE (Archives page empty)</t>
  </si>
  <si>
    <t xml:space="preserve">Local paper The Lynchburg Times covers council.</t>
  </si>
  <si>
    <t xml:space="preserve">Morgan</t>
  </si>
  <si>
    <t xml:space="preserve">https://www.morgancountytn.gov</t>
  </si>
  <si>
    <t xml:space="preserve">morgancountytn.gov/county-commission/ (agenda links broken or draft)</t>
  </si>
  <si>
    <t xml:space="preserve">Site states posting of minutes online has ceased; minutes only in person at County Clerk or County Executive.</t>
  </si>
  <si>
    <t xml:space="preserve">Obion</t>
  </si>
  <si>
    <t xml:space="preserve">https://www.obioncountytn.gov</t>
  </si>
  <si>
    <t xml:space="preserve">obioncountytn.gov/county_commission.html ; current agenda PDF only</t>
  </si>
  <si>
    <t xml:space="preserve">Overton</t>
  </si>
  <si>
    <t xml:space="preserve">https://overtoncountytn.gov</t>
  </si>
  <si>
    <t xml:space="preserve">Per-meeting agenda pages (e.g. overtoncountytn.gov/agenda-may2024/), back to 2022</t>
  </si>
  <si>
    <t xml:space="preserve">Site flagged under construction. No minutes.</t>
  </si>
  <si>
    <t xml:space="preserve">Perry</t>
  </si>
  <si>
    <t xml:space="preserve">https://perrycountytn.com</t>
  </si>
  <si>
    <t xml:space="preserve">Joomla eDocman: Legislative Body Agendas (empty) ; Resolutions and Policies (2 documents)</t>
  </si>
  <si>
    <t xml:space="preserve">eDocman RFP/Bids category (empty)</t>
  </si>
  <si>
    <t xml:space="preserve">Joomla eDocman</t>
  </si>
  <si>
    <t xml:space="preserve">Effectively nothing substantive online.</t>
  </si>
  <si>
    <t xml:space="preserve">Pickett</t>
  </si>
  <si>
    <t xml:space="preserve">NOT FOUND (CTAS lists dalehollow.com, tourism)</t>
  </si>
  <si>
    <t xml:space="preserve">Likely clerk minute book; state clerk portal unverified for Pickett.</t>
  </si>
  <si>
    <t xml:space="preserve">Polk</t>
  </si>
  <si>
    <t xml:space="preserve">https://polkcountytn.gov</t>
  </si>
  <si>
    <t xml:space="preserve">polkcountytn.gov/agendas-minutes-2/ ; /agendas-minutes/ (resolutions and documents)</t>
  </si>
  <si>
    <t xml:space="preserve">polkcountytn.gov/bids-rfps/ (empty)</t>
  </si>
  <si>
    <t xml:space="preserve">About two years online.</t>
  </si>
  <si>
    <t xml:space="preserve">Putnam</t>
  </si>
  <si>
    <t xml:space="preserve">https://putnamcountytn.gov</t>
  </si>
  <si>
    <t xml:space="preserve">Agendas on putnamcountytn.gov ; minutes archive on ada.putnamcountytn.gov (back to 2012) ; County Ordinances menu not resolved</t>
  </si>
  <si>
    <t xml:space="preserve">Drupal-style, PDFs</t>
  </si>
  <si>
    <t xml:space="preserve">Many minutes likely scanned.</t>
  </si>
  <si>
    <t xml:space="preserve">Rhea</t>
  </si>
  <si>
    <t xml:space="preserve">http://rheacountytn.com (stale)</t>
  </si>
  <si>
    <t xml:space="preserve">Agendas mirrored on Locable feed (locable.com/connections/54617-rhea-county-government/)</t>
  </si>
  <si>
    <t xml:space="preserve">Locable</t>
  </si>
  <si>
    <t xml:space="preserve">Official site shows 2017 content.</t>
  </si>
  <si>
    <t xml:space="preserve">Roane</t>
  </si>
  <si>
    <t xml:space="preserve">https://roanecountytn.gov</t>
  </si>
  <si>
    <t xml:space="preserve">roanecountytn.gov/county-commission/ with Google Drive folders for agendas, minutes, packets</t>
  </si>
  <si>
    <t xml:space="preserve">roanecountytn.gov/purchasing-department/ ; BidNet Direct vendor registry</t>
  </si>
  <si>
    <t xml:space="preserve">WordPress, Google Drive, BidNet Direct</t>
  </si>
  <si>
    <t xml:space="preserve">Drive contents not opened.</t>
  </si>
  <si>
    <t xml:space="preserve">Robertson</t>
  </si>
  <si>
    <t xml:space="preserve">http://www.robertsoncountytn.org</t>
  </si>
  <si>
    <t xml:space="preserve">Home page returned no usable links.</t>
  </si>
  <si>
    <t xml:space="preserve">Rutherford</t>
  </si>
  <si>
    <t xml:space="preserve">https://rutherfordcountytn.gov</t>
  </si>
  <si>
    <t xml:space="preserve">Commission agenda and minutes location not confirmed; committee PDFs in /uploads/dm/</t>
  </si>
  <si>
    <t xml:space="preserve">rutherfordcountytn.gov/bid-opportunities (sealed bids to Mayor's Office)</t>
  </si>
  <si>
    <t xml:space="preserve">Document Manager, PDFs</t>
  </si>
  <si>
    <t xml:space="preserve">Initial fetch blocked by robots.</t>
  </si>
  <si>
    <t xml:space="preserve">Scott</t>
  </si>
  <si>
    <t xml:space="preserve">https://scottcounty.com</t>
  </si>
  <si>
    <t xml:space="preserve">scottcounty.com/government/meeting-agendas/ (2026 agendas only)</t>
  </si>
  <si>
    <t xml:space="preserve">scottcounty.com/government/bids/ (none posted); Vendor Registry; GovDeals</t>
  </si>
  <si>
    <t xml:space="preserve">County site, Vendor Registry, GovDeals</t>
  </si>
  <si>
    <t xml:space="preserve">No minutes.</t>
  </si>
  <si>
    <t xml:space="preserve">Sequatchie</t>
  </si>
  <si>
    <t xml:space="preserve">https://sequatchiecountytn.gov</t>
  </si>
  <si>
    <t xml:space="preserve">Agendas and minutes as news items: sequatchiecountytn.gov/news-notices/sequatchie-county-commission-minutes</t>
  </si>
  <si>
    <t xml:space="preserve">Custom site</t>
  </si>
  <si>
    <t xml:space="preserve">Sevier</t>
  </si>
  <si>
    <t xml:space="preserve">https://seviercountytn.gov</t>
  </si>
  <si>
    <t xml:space="preserve">seviercountytn.gov/government/county_officials/county_commissioners/county_commission_agenda.php (2020 to 2026) ; committee page</t>
  </si>
  <si>
    <t xml:space="preserve">seviercountytn.gov/how_do_i/submit_a_bid.php (table empty)</t>
  </si>
  <si>
    <t xml:space="preserve">PDFs hosted on cms3.revize.com.</t>
  </si>
  <si>
    <t xml:space="preserve">Shelby</t>
  </si>
  <si>
    <t xml:space="preserve">https://www.shelbycountytn.gov</t>
  </si>
  <si>
    <t xml:space="preserve">shelbycountytn.gov/71/Shelby-County-Board-of-Commissioners (OnBase documents, DocumentCenter PDFs) ; Code of Ordinances: shelbycountytn.gov/72/Code-of-Ordinances ; archived votes /3949 ; audio via Granicus</t>
  </si>
  <si>
    <t xml:space="preserve">bids.shelbycountytn.gov ; contracts and purchase orders: contracts.shelbycountytn.gov/PurchaseOrders (search result only) ; /203/Government-Purchases</t>
  </si>
  <si>
    <t xml:space="preserve">CivicPlus, OnBase, Granicus, custom bids and contracts portals</t>
  </si>
  <si>
    <t xml:space="preserve">No Legistar. Contracts portal needs a direct check. Minutes by request form.</t>
  </si>
  <si>
    <t xml:space="preserve">Smith</t>
  </si>
  <si>
    <t xml:space="preserve">https://smithcotn.com</t>
  </si>
  <si>
    <t xml:space="preserve">Official site identified via chamber menu.</t>
  </si>
  <si>
    <t xml:space="preserve">Stewart</t>
  </si>
  <si>
    <t xml:space="preserve">https://www.stewartcogov.com</t>
  </si>
  <si>
    <t xml:space="preserve">Meeting notice PDFs only; minutes location not confirmed</t>
  </si>
  <si>
    <t xml:space="preserve">County site</t>
  </si>
  <si>
    <t xml:space="preserve">Sullivan</t>
  </si>
  <si>
    <t xml:space="preserve">https://sullivancountytn.gov</t>
  </si>
  <si>
    <t xml:space="preserve">Agenda posts under Agendas category; final agendas on Clerk site sullivancountyclerktn.com (unverified)</t>
  </si>
  <si>
    <t xml:space="preserve">Purchasing department page in menu (URL not captured)</t>
  </si>
  <si>
    <t xml:space="preserve">Sumner</t>
  </si>
  <si>
    <t xml:space="preserve">https://sumnercountytn.gov</t>
  </si>
  <si>
    <t xml:space="preserve">sumnercountytn.gov/government/county-commission/ ; /agendas-minutes/ ; /government/2026-committee-meetings/</t>
  </si>
  <si>
    <t xml:space="preserve">sumnercountytn.gov/departments/finance/purchasing/ (open bids; bid minutes and awards FY2020 to FY2027; policy)</t>
  </si>
  <si>
    <t xml:space="preserve">County site, ConnectedViews video</t>
  </si>
  <si>
    <t xml:space="preserve">Resolutions available on request at County Clerk. Bid limit $25,000.</t>
  </si>
  <si>
    <t xml:space="preserve">Tipton</t>
  </si>
  <si>
    <t xml:space="preserve">https://tiptonco.com</t>
  </si>
  <si>
    <t xml:space="preserve">Government menu has Agendas and minutes (exact URL not seen)</t>
  </si>
  <si>
    <t xml:space="preserve">Bid notices as news items (e.g. news_detail_T34_R761.php)</t>
  </si>
  <si>
    <t xml:space="preserve">Custom PHP</t>
  </si>
  <si>
    <t xml:space="preserve">Trousdale</t>
  </si>
  <si>
    <t xml:space="preserve">http://www.trousdalecountytn.gov</t>
  </si>
  <si>
    <t xml:space="preserve">trousdalecountytn.gov/government/local_government/commission_meeting_agendas_minutes.php ; resolutions and ordinances: /government/county_codes_ordinances/resolutions_ordinances.php ; codes index</t>
  </si>
  <si>
    <t xml:space="preserve">trousdalecountytn.gov/government/public_notices/bid_listing.php</t>
  </si>
  <si>
    <t xml:space="preserve">Revize-style</t>
  </si>
  <si>
    <t xml:space="preserve">Best legislation structure among small counties; subpages not individually fetched.</t>
  </si>
  <si>
    <t xml:space="preserve">Unicoi</t>
  </si>
  <si>
    <t xml:space="preserve">https://unicoicountytn.gov (also unicoicountytn.com)</t>
  </si>
  <si>
    <t xml:space="preserve">Commission page linked; minutes location not confirmed</t>
  </si>
  <si>
    <t xml:space="preserve">Two domains; canonical unclear.</t>
  </si>
  <si>
    <t xml:space="preserve">Union</t>
  </si>
  <si>
    <t xml:space="preserve">https://www.unioncountytn.gov</t>
  </si>
  <si>
    <t xml:space="preserve">Not located on county site; historicunioncounty.com hosts commission binders 2019 to 2021</t>
  </si>
  <si>
    <t xml:space="preserve">PDFs</t>
  </si>
  <si>
    <t xml:space="preserve">historicunioncounty.com may be a tourism site.</t>
  </si>
  <si>
    <t xml:space="preserve">Van Buren</t>
  </si>
  <si>
    <t xml:space="preserve">https://vanburencountytn.com</t>
  </si>
  <si>
    <t xml:space="preserve">vanburencountytn.com/agendas_minutes/index.html</t>
  </si>
  <si>
    <t xml:space="preserve">vanburencountytn.com/bids/index.html</t>
  </si>
  <si>
    <t xml:space="preserve">Subpages not fetched.</t>
  </si>
  <si>
    <t xml:space="preserve">Warren</t>
  </si>
  <si>
    <t xml:space="preserve">https://www.warrencountytn.gov</t>
  </si>
  <si>
    <t xml:space="preserve">County Commission page linked (URL not seen) ; Downloads and County Archives</t>
  </si>
  <si>
    <t xml:space="preserve">Bid Opportunities page in menu (URL not seen)</t>
  </si>
  <si>
    <t xml:space="preserve">Homepage claims agendas, minutes, resolutions, code links.</t>
  </si>
  <si>
    <t xml:space="preserve">Washington</t>
  </si>
  <si>
    <t xml:space="preserve">https://www.washingtoncountytn.org</t>
  </si>
  <si>
    <t xml:space="preserve">washingtoncountytn.org/129/Agendas-Minutes</t>
  </si>
  <si>
    <t xml:space="preserve">NOT FOUND ONLINE (Online Services /331 unchecked)</t>
  </si>
  <si>
    <t xml:space="preserve">Wayne</t>
  </si>
  <si>
    <t xml:space="preserve">http://www.waynecountytn.org</t>
  </si>
  <si>
    <t xml:space="preserve">Commission and Official Documents pages linked (URLs not seen)</t>
  </si>
  <si>
    <t xml:space="preserve">Weakley</t>
  </si>
  <si>
    <t xml:space="preserve">https://weakleycountytn.gov</t>
  </si>
  <si>
    <t xml:space="preserve">weakleycountytn.gov/agendas-minutes-resolutions.html (by fiscal year, numbered resolutions; back to 1970s)</t>
  </si>
  <si>
    <t xml:space="preserve">Bids and Purchasing page under Finance (URL not seen)</t>
  </si>
  <si>
    <t xml:space="preserve">Strong archive; some minutes coming soon.</t>
  </si>
  <si>
    <t xml:space="preserve">White</t>
  </si>
  <si>
    <t xml:space="preserve">https://whitecountytn.gov</t>
  </si>
  <si>
    <t xml:space="preserve">whitecountytn.gov/AgendaCenter ; /262/County-Commission</t>
  </si>
  <si>
    <t xml:space="preserve">whitecountytn.gov/316/Bids-Purchasing ; /296/Purchasing-Committee</t>
  </si>
  <si>
    <t xml:space="preserve">Resolutions and code not located.</t>
  </si>
  <si>
    <t xml:space="preserve">Williamson</t>
  </si>
  <si>
    <t xml:space="preserve">https://www.williamsoncounty-tn.gov</t>
  </si>
  <si>
    <t xml:space="preserve">CivicPlus AgendaCenter: williamsoncounty-tn.gov/AgendaCenter</t>
  </si>
  <si>
    <t xml:space="preserve">Bids nav item (URL not seen)</t>
  </si>
  <si>
    <t xml:space="preserve">Wilson</t>
  </si>
  <si>
    <t xml:space="preserve">https://www.wilsoncountytn.gov</t>
  </si>
  <si>
    <t xml:space="preserve">CivicPlus Archive Center: wilsoncountytn.gov/Archive.aspx?ADID=168 (minutes with resolution numbers) ; /245/County-Commissioners</t>
  </si>
  <si>
    <t xml:space="preserve">NOT FOUND ONLINE (not checked)</t>
  </si>
  <si>
    <t xml:space="preserve">Tennessee county legislation and contract locations: summary</t>
  </si>
  <si>
    <t xml:space="preserve">Verification status</t>
  </si>
  <si>
    <t xml:space="preserve">Counties</t>
  </si>
  <si>
    <t xml:space="preserve">Total</t>
  </si>
  <si>
    <t xml:space="preserve">Platform mentions (substring count in Platform column)</t>
  </si>
  <si>
    <t xml:space="preserve">BidNet Direct</t>
  </si>
  <si>
    <t xml:space="preserve">Vendor Registry / PlanetBids</t>
  </si>
  <si>
    <t xml:space="preserve">Bonfire</t>
  </si>
  <si>
    <t xml:space="preserve">Legistar (Davidson only)</t>
  </si>
  <si>
    <t xml:space="preserve">Dropbox / Google Drive</t>
  </si>
  <si>
    <t xml:space="preserve">Method and caveats</t>
  </si>
  <si>
    <t xml:space="preserve">Source of county list: UT CTAS county websites page (ctas.tennessee.edu/counties_websites). Several CTAS URLs are chambers of commerce or dead domains; real sites were substituted where found.</t>
  </si>
  <si>
    <t xml:space="preserve">Research done by five parallel agents using web search and page fetches. VERIFIED means the relevant county page was fetched and showed the content. PARTIAL means a link was only seen in search results or the home page, or contents did not render. NOT FOUND means nothing was located, including where a fetch was blocked by robots.txt (Madison, Maury, Lauderdale): these need a browser check, not a conclusion that nothing exists.</t>
  </si>
  <si>
    <t xml:space="preserve">No county was found posting executed contracts. What exists online is bid notices and, in a few counties (Davidson, Hamilton, Sumner, Bedford), award lists. Davidson offers copies of contracts by request form.</t>
  </si>
  <si>
    <t xml:space="preserve">Under T.C.A. 10-7-121 and CTAS guidance, minutes are the County Clerk's record and kept in a minute book; several counties point to the state clerk portal secure.tncountyclerk.com/minutesSearch. Counties with little online (e.g. Morgan, which says it stopped posting minutes) require Tennessee Public Records Act requests to the County Clerk.</t>
  </si>
  <si>
    <t xml:space="preserve">This table is a snapshot as of October 13, 2026. Re-verify any URL before citing it.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</si>
</sst>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48"/>
    <col collapsed="false" customWidth="true" hidden="false" outlineLevel="0" max="5" min="5" style="0" width="26"/>
    <col collapsed="false" customWidth="true" hidden="false" outlineLevel="0" max="7" min="6" style="0" width="13"/>
    <col collapsed="false" customWidth="true" hidden="false" outlineLevel="0" max="8" min="8" style="0" width="44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2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customFormat="false" ht="32.8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3" t="s">
        <v>13</v>
      </c>
      <c r="G3" s="2" t="s">
        <v>14</v>
      </c>
      <c r="H3" s="2" t="s">
        <v>21</v>
      </c>
    </row>
    <row r="4" customFormat="false" ht="22.3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3" t="s">
        <v>13</v>
      </c>
      <c r="G4" s="2" t="s">
        <v>27</v>
      </c>
      <c r="H4" s="2" t="s">
        <v>28</v>
      </c>
    </row>
    <row r="5" customFormat="false" ht="22.3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25</v>
      </c>
      <c r="E5" s="2" t="s">
        <v>32</v>
      </c>
      <c r="F5" s="4" t="s">
        <v>33</v>
      </c>
      <c r="G5" s="2" t="s">
        <v>27</v>
      </c>
      <c r="H5" s="2" t="s">
        <v>34</v>
      </c>
    </row>
    <row r="6" customFormat="false" ht="22.3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4" t="s">
        <v>33</v>
      </c>
      <c r="G6" s="2" t="s">
        <v>40</v>
      </c>
      <c r="H6" s="2" t="s">
        <v>41</v>
      </c>
    </row>
    <row r="7" customFormat="false" ht="22.35" hidden="false" customHeight="false" outlineLevel="0" collapsed="false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3" t="s">
        <v>13</v>
      </c>
      <c r="G7" s="2" t="s">
        <v>27</v>
      </c>
      <c r="H7" s="2" t="s">
        <v>47</v>
      </c>
    </row>
    <row r="8" customFormat="false" ht="15" hidden="false" customHeight="false" outlineLevel="0" collapsed="false">
      <c r="A8" s="2" t="s">
        <v>48</v>
      </c>
      <c r="B8" s="2" t="s">
        <v>49</v>
      </c>
      <c r="C8" s="2" t="s">
        <v>50</v>
      </c>
      <c r="D8" s="2" t="s">
        <v>25</v>
      </c>
      <c r="E8" s="2" t="s">
        <v>51</v>
      </c>
      <c r="F8" s="3" t="s">
        <v>13</v>
      </c>
      <c r="G8" s="2" t="s">
        <v>27</v>
      </c>
      <c r="H8" s="2" t="s">
        <v>52</v>
      </c>
    </row>
    <row r="9" customFormat="false" ht="22.35" hidden="false" customHeight="false" outlineLevel="0" collapsed="false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3" t="s">
        <v>13</v>
      </c>
      <c r="G9" s="2" t="s">
        <v>14</v>
      </c>
      <c r="H9" s="2" t="s">
        <v>58</v>
      </c>
    </row>
    <row r="10" customFormat="false" ht="15" hidden="false" customHeight="false" outlineLevel="0" collapsed="false">
      <c r="A10" s="2" t="s">
        <v>59</v>
      </c>
      <c r="B10" s="2" t="s">
        <v>60</v>
      </c>
      <c r="C10" s="2" t="s">
        <v>61</v>
      </c>
      <c r="D10" s="2" t="s">
        <v>25</v>
      </c>
      <c r="E10" s="2" t="s">
        <v>62</v>
      </c>
      <c r="F10" s="4" t="s">
        <v>33</v>
      </c>
      <c r="G10" s="2" t="s">
        <v>27</v>
      </c>
      <c r="H10" s="2"/>
    </row>
    <row r="11" customFormat="false" ht="22.35" hidden="false" customHeight="false" outlineLevel="0" collapsed="false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3" t="s">
        <v>13</v>
      </c>
      <c r="G11" s="2" t="s">
        <v>14</v>
      </c>
      <c r="H11" s="2" t="s">
        <v>68</v>
      </c>
    </row>
    <row r="12" customFormat="false" ht="22.35" hidden="false" customHeight="false" outlineLevel="0" collapsed="false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3" t="s">
        <v>13</v>
      </c>
      <c r="G12" s="2" t="s">
        <v>40</v>
      </c>
      <c r="H12" s="2" t="s">
        <v>74</v>
      </c>
    </row>
    <row r="13" customFormat="false" ht="15" hidden="false" customHeight="false" outlineLevel="0" collapsed="false">
      <c r="A13" s="2" t="s">
        <v>75</v>
      </c>
      <c r="B13" s="2" t="s">
        <v>76</v>
      </c>
      <c r="C13" s="2" t="s">
        <v>77</v>
      </c>
      <c r="D13" s="2" t="s">
        <v>25</v>
      </c>
      <c r="E13" s="2" t="s">
        <v>26</v>
      </c>
      <c r="F13" s="4" t="s">
        <v>33</v>
      </c>
      <c r="G13" s="2" t="s">
        <v>27</v>
      </c>
      <c r="H13" s="2" t="s">
        <v>78</v>
      </c>
    </row>
    <row r="14" customFormat="false" ht="22.35" hidden="false" customHeight="false" outlineLevel="0" collapsed="false">
      <c r="A14" s="2" t="s">
        <v>79</v>
      </c>
      <c r="B14" s="2" t="s">
        <v>80</v>
      </c>
      <c r="C14" s="2" t="s">
        <v>81</v>
      </c>
      <c r="D14" s="2" t="s">
        <v>25</v>
      </c>
      <c r="E14" s="2" t="s">
        <v>82</v>
      </c>
      <c r="F14" s="3" t="s">
        <v>13</v>
      </c>
      <c r="G14" s="2" t="s">
        <v>27</v>
      </c>
      <c r="H14" s="2"/>
    </row>
    <row r="15" customFormat="false" ht="15" hidden="false" customHeight="false" outlineLevel="0" collapsed="false">
      <c r="A15" s="2" t="s">
        <v>83</v>
      </c>
      <c r="B15" s="2" t="s">
        <v>84</v>
      </c>
      <c r="C15" s="2" t="s">
        <v>85</v>
      </c>
      <c r="D15" s="2" t="s">
        <v>25</v>
      </c>
      <c r="E15" s="2" t="s">
        <v>86</v>
      </c>
      <c r="F15" s="4" t="s">
        <v>33</v>
      </c>
      <c r="G15" s="2" t="s">
        <v>27</v>
      </c>
      <c r="H15" s="2" t="s">
        <v>87</v>
      </c>
    </row>
    <row r="16" customFormat="false" ht="22.35" hidden="false" customHeight="false" outlineLevel="0" collapsed="false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3" t="s">
        <v>13</v>
      </c>
      <c r="G16" s="2" t="s">
        <v>14</v>
      </c>
      <c r="H16" s="2" t="s">
        <v>93</v>
      </c>
    </row>
    <row r="17" customFormat="false" ht="22.35" hidden="false" customHeight="false" outlineLevel="0" collapsed="false">
      <c r="A17" s="2" t="s">
        <v>94</v>
      </c>
      <c r="B17" s="2" t="s">
        <v>95</v>
      </c>
      <c r="C17" s="2" t="s">
        <v>96</v>
      </c>
      <c r="D17" s="2" t="s">
        <v>97</v>
      </c>
      <c r="E17" s="2" t="s">
        <v>98</v>
      </c>
      <c r="F17" s="4" t="s">
        <v>33</v>
      </c>
      <c r="G17" s="2" t="s">
        <v>40</v>
      </c>
      <c r="H17" s="2" t="s">
        <v>99</v>
      </c>
    </row>
    <row r="18" customFormat="false" ht="22.35" hidden="false" customHeight="false" outlineLevel="0" collapsed="false">
      <c r="A18" s="2" t="s">
        <v>100</v>
      </c>
      <c r="B18" s="2" t="s">
        <v>101</v>
      </c>
      <c r="C18" s="2" t="s">
        <v>25</v>
      </c>
      <c r="D18" s="2" t="s">
        <v>25</v>
      </c>
      <c r="E18" s="2" t="s">
        <v>102</v>
      </c>
      <c r="F18" s="5" t="s">
        <v>103</v>
      </c>
      <c r="G18" s="2" t="s">
        <v>27</v>
      </c>
      <c r="H18" s="2" t="s">
        <v>104</v>
      </c>
    </row>
    <row r="19" customFormat="false" ht="22.35" hidden="false" customHeight="false" outlineLevel="0" collapsed="false">
      <c r="A19" s="2" t="s">
        <v>105</v>
      </c>
      <c r="B19" s="2" t="s">
        <v>106</v>
      </c>
      <c r="C19" s="2" t="s">
        <v>107</v>
      </c>
      <c r="D19" s="2" t="s">
        <v>108</v>
      </c>
      <c r="E19" s="2" t="s">
        <v>109</v>
      </c>
      <c r="F19" s="3" t="s">
        <v>13</v>
      </c>
      <c r="G19" s="2" t="s">
        <v>27</v>
      </c>
      <c r="H19" s="2" t="s">
        <v>110</v>
      </c>
    </row>
    <row r="20" customFormat="false" ht="64.15" hidden="false" customHeight="false" outlineLevel="0" collapsed="false">
      <c r="A20" s="2" t="s">
        <v>111</v>
      </c>
      <c r="B20" s="2" t="s">
        <v>112</v>
      </c>
      <c r="C20" s="2" t="s">
        <v>113</v>
      </c>
      <c r="D20" s="2" t="s">
        <v>114</v>
      </c>
      <c r="E20" s="2" t="s">
        <v>115</v>
      </c>
      <c r="F20" s="3" t="s">
        <v>13</v>
      </c>
      <c r="G20" s="2" t="s">
        <v>14</v>
      </c>
      <c r="H20" s="2" t="s">
        <v>116</v>
      </c>
    </row>
    <row r="21" customFormat="false" ht="15" hidden="false" customHeight="false" outlineLevel="0" collapsed="false">
      <c r="A21" s="2" t="s">
        <v>117</v>
      </c>
      <c r="B21" s="2" t="s">
        <v>118</v>
      </c>
      <c r="C21" s="2" t="s">
        <v>119</v>
      </c>
      <c r="D21" s="2" t="s">
        <v>25</v>
      </c>
      <c r="E21" s="2" t="s">
        <v>109</v>
      </c>
      <c r="F21" s="3" t="s">
        <v>13</v>
      </c>
      <c r="G21" s="2" t="s">
        <v>27</v>
      </c>
      <c r="H21" s="2" t="s">
        <v>120</v>
      </c>
    </row>
    <row r="22" customFormat="false" ht="22.35" hidden="false" customHeight="false" outlineLevel="0" collapsed="false">
      <c r="A22" s="2" t="s">
        <v>121</v>
      </c>
      <c r="B22" s="2" t="s">
        <v>122</v>
      </c>
      <c r="C22" s="2" t="s">
        <v>123</v>
      </c>
      <c r="D22" s="2" t="s">
        <v>25</v>
      </c>
      <c r="E22" s="2" t="s">
        <v>124</v>
      </c>
      <c r="F22" s="3" t="s">
        <v>13</v>
      </c>
      <c r="G22" s="2" t="s">
        <v>27</v>
      </c>
      <c r="H22" s="2" t="s">
        <v>125</v>
      </c>
    </row>
    <row r="23" customFormat="false" ht="22.35" hidden="false" customHeight="false" outlineLevel="0" collapsed="false">
      <c r="A23" s="2" t="s">
        <v>126</v>
      </c>
      <c r="B23" s="2" t="s">
        <v>127</v>
      </c>
      <c r="C23" s="2" t="s">
        <v>128</v>
      </c>
      <c r="D23" s="2" t="s">
        <v>25</v>
      </c>
      <c r="E23" s="2" t="s">
        <v>26</v>
      </c>
      <c r="F23" s="3" t="s">
        <v>13</v>
      </c>
      <c r="G23" s="2" t="s">
        <v>27</v>
      </c>
      <c r="H23" s="2" t="s">
        <v>129</v>
      </c>
    </row>
    <row r="24" customFormat="false" ht="22.35" hidden="false" customHeight="false" outlineLevel="0" collapsed="false">
      <c r="A24" s="2" t="s">
        <v>130</v>
      </c>
      <c r="B24" s="2" t="s">
        <v>131</v>
      </c>
      <c r="C24" s="2" t="s">
        <v>132</v>
      </c>
      <c r="D24" s="2" t="s">
        <v>133</v>
      </c>
      <c r="E24" s="2" t="s">
        <v>134</v>
      </c>
      <c r="F24" s="3" t="s">
        <v>13</v>
      </c>
      <c r="G24" s="2" t="s">
        <v>14</v>
      </c>
      <c r="H24" s="2" t="s">
        <v>135</v>
      </c>
    </row>
    <row r="25" customFormat="false" ht="22.35" hidden="false" customHeight="false" outlineLevel="0" collapsed="false">
      <c r="A25" s="2" t="s">
        <v>136</v>
      </c>
      <c r="B25" s="2" t="s">
        <v>137</v>
      </c>
      <c r="C25" s="2" t="s">
        <v>138</v>
      </c>
      <c r="D25" s="2" t="s">
        <v>139</v>
      </c>
      <c r="E25" s="2" t="s">
        <v>140</v>
      </c>
      <c r="F25" s="3" t="s">
        <v>13</v>
      </c>
      <c r="G25" s="2" t="s">
        <v>40</v>
      </c>
      <c r="H25" s="2" t="s">
        <v>141</v>
      </c>
    </row>
    <row r="26" customFormat="false" ht="22.35" hidden="false" customHeight="false" outlineLevel="0" collapsed="false">
      <c r="A26" s="2" t="s">
        <v>142</v>
      </c>
      <c r="B26" s="2" t="s">
        <v>143</v>
      </c>
      <c r="C26" s="2" t="s">
        <v>144</v>
      </c>
      <c r="D26" s="2" t="s">
        <v>25</v>
      </c>
      <c r="E26" s="2" t="s">
        <v>109</v>
      </c>
      <c r="F26" s="4" t="s">
        <v>33</v>
      </c>
      <c r="G26" s="2" t="s">
        <v>27</v>
      </c>
      <c r="H26" s="2" t="s">
        <v>145</v>
      </c>
    </row>
    <row r="27" customFormat="false" ht="15" hidden="false" customHeight="false" outlineLevel="0" collapsed="false">
      <c r="A27" s="2" t="s">
        <v>146</v>
      </c>
      <c r="B27" s="2" t="s">
        <v>147</v>
      </c>
      <c r="C27" s="2" t="s">
        <v>148</v>
      </c>
      <c r="D27" s="2" t="s">
        <v>149</v>
      </c>
      <c r="E27" s="2" t="s">
        <v>150</v>
      </c>
      <c r="F27" s="3" t="s">
        <v>13</v>
      </c>
      <c r="G27" s="2" t="s">
        <v>27</v>
      </c>
      <c r="H27" s="2"/>
    </row>
    <row r="28" customFormat="false" ht="22.35" hidden="false" customHeight="false" outlineLevel="0" collapsed="false">
      <c r="A28" s="2" t="s">
        <v>151</v>
      </c>
      <c r="B28" s="2" t="s">
        <v>152</v>
      </c>
      <c r="C28" s="2" t="s">
        <v>153</v>
      </c>
      <c r="D28" s="2" t="s">
        <v>25</v>
      </c>
      <c r="E28" s="2" t="s">
        <v>109</v>
      </c>
      <c r="F28" s="3" t="s">
        <v>13</v>
      </c>
      <c r="G28" s="2" t="s">
        <v>27</v>
      </c>
      <c r="H28" s="2" t="s">
        <v>154</v>
      </c>
    </row>
    <row r="29" customFormat="false" ht="22.35" hidden="false" customHeight="false" outlineLevel="0" collapsed="false">
      <c r="A29" s="2" t="s">
        <v>155</v>
      </c>
      <c r="B29" s="2" t="s">
        <v>156</v>
      </c>
      <c r="C29" s="2" t="s">
        <v>157</v>
      </c>
      <c r="D29" s="2" t="s">
        <v>158</v>
      </c>
      <c r="E29" s="2" t="s">
        <v>82</v>
      </c>
      <c r="F29" s="3" t="s">
        <v>13</v>
      </c>
      <c r="G29" s="2" t="s">
        <v>14</v>
      </c>
      <c r="H29" s="2" t="s">
        <v>159</v>
      </c>
    </row>
    <row r="30" customFormat="false" ht="15" hidden="false" customHeight="false" outlineLevel="0" collapsed="false">
      <c r="A30" s="2" t="s">
        <v>160</v>
      </c>
      <c r="B30" s="2" t="s">
        <v>161</v>
      </c>
      <c r="C30" s="2" t="s">
        <v>162</v>
      </c>
      <c r="D30" s="2" t="s">
        <v>25</v>
      </c>
      <c r="E30" s="2" t="s">
        <v>163</v>
      </c>
      <c r="F30" s="4" t="s">
        <v>33</v>
      </c>
      <c r="G30" s="2" t="s">
        <v>27</v>
      </c>
      <c r="H30" s="2" t="s">
        <v>164</v>
      </c>
    </row>
    <row r="31" customFormat="false" ht="22.35" hidden="false" customHeight="false" outlineLevel="0" collapsed="false">
      <c r="A31" s="2" t="s">
        <v>165</v>
      </c>
      <c r="B31" s="2" t="s">
        <v>166</v>
      </c>
      <c r="C31" s="2" t="s">
        <v>167</v>
      </c>
      <c r="D31" s="2" t="s">
        <v>168</v>
      </c>
      <c r="E31" s="2" t="s">
        <v>169</v>
      </c>
      <c r="F31" s="3" t="s">
        <v>13</v>
      </c>
      <c r="G31" s="2" t="s">
        <v>14</v>
      </c>
      <c r="H31" s="2" t="s">
        <v>170</v>
      </c>
    </row>
    <row r="32" customFormat="false" ht="15" hidden="false" customHeight="false" outlineLevel="0" collapsed="false">
      <c r="A32" s="2" t="s">
        <v>171</v>
      </c>
      <c r="B32" s="2" t="s">
        <v>172</v>
      </c>
      <c r="C32" s="2" t="s">
        <v>25</v>
      </c>
      <c r="D32" s="2" t="s">
        <v>25</v>
      </c>
      <c r="E32" s="2" t="s">
        <v>173</v>
      </c>
      <c r="F32" s="5" t="s">
        <v>103</v>
      </c>
      <c r="G32" s="2" t="s">
        <v>27</v>
      </c>
      <c r="H32" s="2" t="s">
        <v>174</v>
      </c>
    </row>
    <row r="33" customFormat="false" ht="15" hidden="false" customHeight="false" outlineLevel="0" collapsed="false">
      <c r="A33" s="2" t="s">
        <v>175</v>
      </c>
      <c r="B33" s="2" t="s">
        <v>176</v>
      </c>
      <c r="C33" s="2" t="s">
        <v>177</v>
      </c>
      <c r="D33" s="2" t="s">
        <v>178</v>
      </c>
      <c r="E33" s="2" t="s">
        <v>82</v>
      </c>
      <c r="F33" s="3" t="s">
        <v>13</v>
      </c>
      <c r="G33" s="2" t="s">
        <v>14</v>
      </c>
      <c r="H33" s="2" t="s">
        <v>179</v>
      </c>
    </row>
    <row r="34" customFormat="false" ht="43.25" hidden="false" customHeight="false" outlineLevel="0" collapsed="false">
      <c r="A34" s="2" t="s">
        <v>180</v>
      </c>
      <c r="B34" s="2" t="s">
        <v>181</v>
      </c>
      <c r="C34" s="2" t="s">
        <v>182</v>
      </c>
      <c r="D34" s="2" t="s">
        <v>183</v>
      </c>
      <c r="E34" s="2" t="s">
        <v>184</v>
      </c>
      <c r="F34" s="3" t="s">
        <v>13</v>
      </c>
      <c r="G34" s="2" t="s">
        <v>14</v>
      </c>
      <c r="H34" s="2" t="s">
        <v>185</v>
      </c>
    </row>
    <row r="35" customFormat="false" ht="22.35" hidden="false" customHeight="false" outlineLevel="0" collapsed="false">
      <c r="A35" s="2" t="s">
        <v>186</v>
      </c>
      <c r="B35" s="2" t="s">
        <v>187</v>
      </c>
      <c r="C35" s="2" t="s">
        <v>188</v>
      </c>
      <c r="D35" s="2" t="s">
        <v>25</v>
      </c>
      <c r="E35" s="2" t="s">
        <v>189</v>
      </c>
      <c r="F35" s="5" t="s">
        <v>103</v>
      </c>
      <c r="G35" s="2" t="s">
        <v>27</v>
      </c>
      <c r="H35" s="2"/>
    </row>
    <row r="36" customFormat="false" ht="15" hidden="false" customHeight="false" outlineLevel="0" collapsed="false">
      <c r="A36" s="2" t="s">
        <v>190</v>
      </c>
      <c r="B36" s="2" t="s">
        <v>191</v>
      </c>
      <c r="C36" s="2" t="s">
        <v>192</v>
      </c>
      <c r="D36" s="2" t="s">
        <v>25</v>
      </c>
      <c r="E36" s="2" t="s">
        <v>109</v>
      </c>
      <c r="F36" s="3" t="s">
        <v>13</v>
      </c>
      <c r="G36" s="2" t="s">
        <v>27</v>
      </c>
      <c r="H36" s="2" t="s">
        <v>193</v>
      </c>
    </row>
    <row r="37" customFormat="false" ht="22.35" hidden="false" customHeight="false" outlineLevel="0" collapsed="false">
      <c r="A37" s="2" t="s">
        <v>194</v>
      </c>
      <c r="B37" s="2" t="s">
        <v>195</v>
      </c>
      <c r="C37" s="2" t="s">
        <v>196</v>
      </c>
      <c r="D37" s="2" t="s">
        <v>197</v>
      </c>
      <c r="E37" s="2" t="s">
        <v>82</v>
      </c>
      <c r="F37" s="4" t="s">
        <v>33</v>
      </c>
      <c r="G37" s="2" t="s">
        <v>27</v>
      </c>
      <c r="H37" s="2" t="s">
        <v>198</v>
      </c>
    </row>
    <row r="38" customFormat="false" ht="32.8" hidden="false" customHeight="false" outlineLevel="0" collapsed="false">
      <c r="A38" s="2" t="s">
        <v>199</v>
      </c>
      <c r="B38" s="2" t="s">
        <v>200</v>
      </c>
      <c r="C38" s="2" t="s">
        <v>201</v>
      </c>
      <c r="D38" s="2" t="s">
        <v>25</v>
      </c>
      <c r="E38" s="2" t="s">
        <v>202</v>
      </c>
      <c r="F38" s="3" t="s">
        <v>13</v>
      </c>
      <c r="G38" s="2" t="s">
        <v>27</v>
      </c>
      <c r="H38" s="2" t="s">
        <v>203</v>
      </c>
    </row>
    <row r="39" customFormat="false" ht="22.35" hidden="false" customHeight="false" outlineLevel="0" collapsed="false">
      <c r="A39" s="2" t="s">
        <v>204</v>
      </c>
      <c r="B39" s="2" t="s">
        <v>205</v>
      </c>
      <c r="C39" s="2" t="s">
        <v>206</v>
      </c>
      <c r="D39" s="2" t="s">
        <v>25</v>
      </c>
      <c r="E39" s="2" t="s">
        <v>82</v>
      </c>
      <c r="F39" s="4" t="s">
        <v>33</v>
      </c>
      <c r="G39" s="2" t="s">
        <v>27</v>
      </c>
      <c r="H39" s="2" t="s">
        <v>207</v>
      </c>
    </row>
    <row r="40" customFormat="false" ht="32.8" hidden="false" customHeight="false" outlineLevel="0" collapsed="false">
      <c r="A40" s="2" t="s">
        <v>208</v>
      </c>
      <c r="B40" s="2" t="s">
        <v>209</v>
      </c>
      <c r="C40" s="2" t="s">
        <v>210</v>
      </c>
      <c r="D40" s="2" t="s">
        <v>211</v>
      </c>
      <c r="E40" s="2" t="s">
        <v>212</v>
      </c>
      <c r="F40" s="4" t="s">
        <v>33</v>
      </c>
      <c r="G40" s="2" t="s">
        <v>40</v>
      </c>
      <c r="H40" s="2" t="s">
        <v>213</v>
      </c>
    </row>
    <row r="41" customFormat="false" ht="15" hidden="false" customHeight="false" outlineLevel="0" collapsed="false">
      <c r="A41" s="2" t="s">
        <v>214</v>
      </c>
      <c r="B41" s="2" t="s">
        <v>215</v>
      </c>
      <c r="C41" s="2" t="s">
        <v>216</v>
      </c>
      <c r="D41" s="2" t="s">
        <v>25</v>
      </c>
      <c r="E41" s="2" t="s">
        <v>217</v>
      </c>
      <c r="F41" s="4" t="s">
        <v>33</v>
      </c>
      <c r="G41" s="2" t="s">
        <v>27</v>
      </c>
      <c r="H41" s="2" t="s">
        <v>218</v>
      </c>
    </row>
    <row r="42" customFormat="false" ht="22.35" hidden="false" customHeight="false" outlineLevel="0" collapsed="false">
      <c r="A42" s="2" t="s">
        <v>219</v>
      </c>
      <c r="B42" s="2" t="s">
        <v>220</v>
      </c>
      <c r="C42" s="2" t="s">
        <v>221</v>
      </c>
      <c r="D42" s="2" t="s">
        <v>222</v>
      </c>
      <c r="E42" s="2" t="s">
        <v>223</v>
      </c>
      <c r="F42" s="3" t="s">
        <v>13</v>
      </c>
      <c r="G42" s="2" t="s">
        <v>14</v>
      </c>
      <c r="H42" s="2" t="s">
        <v>224</v>
      </c>
    </row>
    <row r="43" customFormat="false" ht="15" hidden="false" customHeight="false" outlineLevel="0" collapsed="false">
      <c r="A43" s="2" t="s">
        <v>225</v>
      </c>
      <c r="B43" s="2" t="s">
        <v>226</v>
      </c>
      <c r="C43" s="2" t="s">
        <v>227</v>
      </c>
      <c r="D43" s="2" t="s">
        <v>228</v>
      </c>
      <c r="E43" s="2" t="s">
        <v>229</v>
      </c>
      <c r="F43" s="3" t="s">
        <v>13</v>
      </c>
      <c r="G43" s="2" t="s">
        <v>40</v>
      </c>
      <c r="H43" s="2" t="s">
        <v>230</v>
      </c>
    </row>
    <row r="44" customFormat="false" ht="15" hidden="false" customHeight="false" outlineLevel="0" collapsed="false">
      <c r="A44" s="2" t="s">
        <v>231</v>
      </c>
      <c r="B44" s="2" t="s">
        <v>232</v>
      </c>
      <c r="C44" s="2" t="s">
        <v>233</v>
      </c>
      <c r="D44" s="2" t="s">
        <v>25</v>
      </c>
      <c r="E44" s="2" t="s">
        <v>150</v>
      </c>
      <c r="F44" s="3" t="s">
        <v>13</v>
      </c>
      <c r="G44" s="2" t="s">
        <v>27</v>
      </c>
      <c r="H44" s="2" t="s">
        <v>234</v>
      </c>
    </row>
    <row r="45" customFormat="false" ht="22.35" hidden="false" customHeight="false" outlineLevel="0" collapsed="false">
      <c r="A45" s="2" t="s">
        <v>235</v>
      </c>
      <c r="B45" s="2" t="s">
        <v>236</v>
      </c>
      <c r="C45" s="2" t="s">
        <v>237</v>
      </c>
      <c r="D45" s="2" t="s">
        <v>25</v>
      </c>
      <c r="E45" s="2" t="s">
        <v>238</v>
      </c>
      <c r="F45" s="3" t="s">
        <v>13</v>
      </c>
      <c r="G45" s="2" t="s">
        <v>27</v>
      </c>
      <c r="H45" s="2" t="s">
        <v>239</v>
      </c>
    </row>
    <row r="46" customFormat="false" ht="22.35" hidden="false" customHeight="false" outlineLevel="0" collapsed="false">
      <c r="A46" s="2" t="s">
        <v>240</v>
      </c>
      <c r="B46" s="2" t="s">
        <v>241</v>
      </c>
      <c r="C46" s="2" t="s">
        <v>242</v>
      </c>
      <c r="D46" s="2" t="s">
        <v>243</v>
      </c>
      <c r="E46" s="2" t="s">
        <v>51</v>
      </c>
      <c r="F46" s="3" t="s">
        <v>13</v>
      </c>
      <c r="G46" s="2" t="s">
        <v>14</v>
      </c>
      <c r="H46" s="2" t="s">
        <v>244</v>
      </c>
    </row>
    <row r="47" customFormat="false" ht="32.8" hidden="false" customHeight="false" outlineLevel="0" collapsed="false">
      <c r="A47" s="2" t="s">
        <v>245</v>
      </c>
      <c r="B47" s="2" t="s">
        <v>246</v>
      </c>
      <c r="C47" s="2" t="s">
        <v>247</v>
      </c>
      <c r="D47" s="2" t="s">
        <v>248</v>
      </c>
      <c r="E47" s="2" t="s">
        <v>249</v>
      </c>
      <c r="F47" s="3" t="s">
        <v>13</v>
      </c>
      <c r="G47" s="2" t="s">
        <v>14</v>
      </c>
      <c r="H47" s="2" t="s">
        <v>250</v>
      </c>
    </row>
    <row r="48" customFormat="false" ht="32.8" hidden="false" customHeight="false" outlineLevel="0" collapsed="false">
      <c r="A48" s="2" t="s">
        <v>251</v>
      </c>
      <c r="B48" s="2" t="s">
        <v>252</v>
      </c>
      <c r="C48" s="2" t="s">
        <v>253</v>
      </c>
      <c r="D48" s="2" t="s">
        <v>254</v>
      </c>
      <c r="E48" s="2" t="s">
        <v>255</v>
      </c>
      <c r="F48" s="3" t="s">
        <v>13</v>
      </c>
      <c r="G48" s="2" t="s">
        <v>14</v>
      </c>
      <c r="H48" s="2" t="s">
        <v>256</v>
      </c>
    </row>
    <row r="49" customFormat="false" ht="22.35" hidden="false" customHeight="false" outlineLevel="0" collapsed="false">
      <c r="A49" s="2" t="s">
        <v>257</v>
      </c>
      <c r="B49" s="2" t="s">
        <v>258</v>
      </c>
      <c r="C49" s="2" t="s">
        <v>259</v>
      </c>
      <c r="D49" s="2" t="s">
        <v>260</v>
      </c>
      <c r="E49" s="2" t="s">
        <v>261</v>
      </c>
      <c r="F49" s="3" t="s">
        <v>13</v>
      </c>
      <c r="G49" s="2" t="s">
        <v>40</v>
      </c>
      <c r="H49" s="2" t="s">
        <v>262</v>
      </c>
    </row>
    <row r="50" customFormat="false" ht="32.8" hidden="false" customHeight="false" outlineLevel="0" collapsed="false">
      <c r="A50" s="2" t="s">
        <v>263</v>
      </c>
      <c r="B50" s="2" t="s">
        <v>264</v>
      </c>
      <c r="C50" s="2" t="s">
        <v>25</v>
      </c>
      <c r="D50" s="2" t="s">
        <v>25</v>
      </c>
      <c r="E50" s="2" t="s">
        <v>217</v>
      </c>
      <c r="F50" s="5" t="s">
        <v>103</v>
      </c>
      <c r="G50" s="2" t="s">
        <v>27</v>
      </c>
      <c r="H50" s="2" t="s">
        <v>265</v>
      </c>
    </row>
    <row r="51" customFormat="false" ht="22.35" hidden="false" customHeight="false" outlineLevel="0" collapsed="false">
      <c r="A51" s="2" t="s">
        <v>266</v>
      </c>
      <c r="B51" s="2" t="s">
        <v>267</v>
      </c>
      <c r="C51" s="2" t="s">
        <v>268</v>
      </c>
      <c r="D51" s="2" t="s">
        <v>269</v>
      </c>
      <c r="E51" s="2" t="s">
        <v>270</v>
      </c>
      <c r="F51" s="3" t="s">
        <v>13</v>
      </c>
      <c r="G51" s="2" t="s">
        <v>14</v>
      </c>
      <c r="H51" s="2" t="s">
        <v>271</v>
      </c>
    </row>
    <row r="52" customFormat="false" ht="15" hidden="false" customHeight="false" outlineLevel="0" collapsed="false">
      <c r="A52" s="2" t="s">
        <v>272</v>
      </c>
      <c r="B52" s="2" t="s">
        <v>273</v>
      </c>
      <c r="C52" s="2" t="s">
        <v>274</v>
      </c>
      <c r="D52" s="2" t="s">
        <v>25</v>
      </c>
      <c r="E52" s="2" t="s">
        <v>275</v>
      </c>
      <c r="F52" s="3" t="s">
        <v>13</v>
      </c>
      <c r="G52" s="2" t="s">
        <v>27</v>
      </c>
      <c r="H52" s="2" t="s">
        <v>276</v>
      </c>
    </row>
    <row r="53" customFormat="false" ht="22.35" hidden="false" customHeight="false" outlineLevel="0" collapsed="false">
      <c r="A53" s="2" t="s">
        <v>277</v>
      </c>
      <c r="B53" s="2" t="s">
        <v>278</v>
      </c>
      <c r="C53" s="2" t="s">
        <v>279</v>
      </c>
      <c r="D53" s="2" t="s">
        <v>25</v>
      </c>
      <c r="E53" s="2" t="s">
        <v>280</v>
      </c>
      <c r="F53" s="3" t="s">
        <v>13</v>
      </c>
      <c r="G53" s="2" t="s">
        <v>27</v>
      </c>
      <c r="H53" s="2"/>
    </row>
    <row r="54" customFormat="false" ht="22.35" hidden="false" customHeight="false" outlineLevel="0" collapsed="false">
      <c r="A54" s="2" t="s">
        <v>281</v>
      </c>
      <c r="B54" s="2" t="s">
        <v>282</v>
      </c>
      <c r="C54" s="2" t="s">
        <v>283</v>
      </c>
      <c r="D54" s="2" t="s">
        <v>284</v>
      </c>
      <c r="E54" s="2" t="s">
        <v>82</v>
      </c>
      <c r="F54" s="3" t="s">
        <v>13</v>
      </c>
      <c r="G54" s="2" t="s">
        <v>14</v>
      </c>
      <c r="H54" s="2" t="s">
        <v>285</v>
      </c>
    </row>
    <row r="55" customFormat="false" ht="22.35" hidden="false" customHeight="false" outlineLevel="0" collapsed="false">
      <c r="A55" s="2" t="s">
        <v>286</v>
      </c>
      <c r="B55" s="2" t="s">
        <v>287</v>
      </c>
      <c r="C55" s="2" t="s">
        <v>288</v>
      </c>
      <c r="D55" s="2" t="s">
        <v>25</v>
      </c>
      <c r="E55" s="2" t="s">
        <v>67</v>
      </c>
      <c r="F55" s="3" t="s">
        <v>13</v>
      </c>
      <c r="G55" s="2" t="s">
        <v>27</v>
      </c>
      <c r="H55" s="2"/>
    </row>
    <row r="56" customFormat="false" ht="15" hidden="false" customHeight="false" outlineLevel="0" collapsed="false">
      <c r="A56" s="2" t="s">
        <v>289</v>
      </c>
      <c r="B56" s="2" t="s">
        <v>290</v>
      </c>
      <c r="C56" s="2" t="s">
        <v>291</v>
      </c>
      <c r="D56" s="2" t="s">
        <v>292</v>
      </c>
      <c r="E56" s="2" t="s">
        <v>217</v>
      </c>
      <c r="F56" s="5" t="s">
        <v>103</v>
      </c>
      <c r="G56" s="2" t="s">
        <v>27</v>
      </c>
      <c r="H56" s="2" t="s">
        <v>293</v>
      </c>
    </row>
    <row r="57" customFormat="false" ht="15" hidden="false" customHeight="false" outlineLevel="0" collapsed="false">
      <c r="A57" s="2" t="s">
        <v>294</v>
      </c>
      <c r="B57" s="2" t="s">
        <v>295</v>
      </c>
      <c r="C57" s="2" t="s">
        <v>296</v>
      </c>
      <c r="D57" s="2" t="s">
        <v>25</v>
      </c>
      <c r="E57" s="2" t="s">
        <v>297</v>
      </c>
      <c r="F57" s="4" t="s">
        <v>33</v>
      </c>
      <c r="G57" s="2" t="s">
        <v>27</v>
      </c>
      <c r="H57" s="2"/>
    </row>
    <row r="58" customFormat="false" ht="22.35" hidden="false" customHeight="false" outlineLevel="0" collapsed="false">
      <c r="A58" s="2" t="s">
        <v>298</v>
      </c>
      <c r="B58" s="2" t="s">
        <v>299</v>
      </c>
      <c r="C58" s="2" t="s">
        <v>300</v>
      </c>
      <c r="D58" s="2" t="s">
        <v>301</v>
      </c>
      <c r="E58" s="2" t="s">
        <v>302</v>
      </c>
      <c r="F58" s="3" t="s">
        <v>13</v>
      </c>
      <c r="G58" s="2" t="s">
        <v>14</v>
      </c>
      <c r="H58" s="2" t="s">
        <v>303</v>
      </c>
    </row>
    <row r="59" customFormat="false" ht="22.35" hidden="false" customHeight="false" outlineLevel="0" collapsed="false">
      <c r="A59" s="2" t="s">
        <v>304</v>
      </c>
      <c r="B59" s="2" t="s">
        <v>305</v>
      </c>
      <c r="C59" s="2" t="s">
        <v>306</v>
      </c>
      <c r="D59" s="2" t="s">
        <v>307</v>
      </c>
      <c r="E59" s="2" t="s">
        <v>217</v>
      </c>
      <c r="F59" s="5" t="s">
        <v>103</v>
      </c>
      <c r="G59" s="2" t="s">
        <v>27</v>
      </c>
      <c r="H59" s="2" t="s">
        <v>293</v>
      </c>
    </row>
    <row r="60" customFormat="false" ht="22.35" hidden="false" customHeight="false" outlineLevel="0" collapsed="false">
      <c r="A60" s="2" t="s">
        <v>308</v>
      </c>
      <c r="B60" s="2" t="s">
        <v>309</v>
      </c>
      <c r="C60" s="2" t="s">
        <v>310</v>
      </c>
      <c r="D60" s="2" t="s">
        <v>311</v>
      </c>
      <c r="E60" s="2" t="s">
        <v>150</v>
      </c>
      <c r="F60" s="3" t="s">
        <v>13</v>
      </c>
      <c r="G60" s="2" t="s">
        <v>27</v>
      </c>
      <c r="H60" s="2" t="s">
        <v>312</v>
      </c>
    </row>
    <row r="61" customFormat="false" ht="22.35" hidden="false" customHeight="false" outlineLevel="0" collapsed="false">
      <c r="A61" s="2" t="s">
        <v>313</v>
      </c>
      <c r="B61" s="2" t="s">
        <v>314</v>
      </c>
      <c r="C61" s="2" t="s">
        <v>315</v>
      </c>
      <c r="D61" s="2" t="s">
        <v>25</v>
      </c>
      <c r="E61" s="2" t="s">
        <v>316</v>
      </c>
      <c r="F61" s="4" t="s">
        <v>33</v>
      </c>
      <c r="G61" s="2" t="s">
        <v>27</v>
      </c>
      <c r="H61" s="2"/>
    </row>
    <row r="62" customFormat="false" ht="43.25" hidden="false" customHeight="false" outlineLevel="0" collapsed="false">
      <c r="A62" s="2" t="s">
        <v>317</v>
      </c>
      <c r="B62" s="2" t="s">
        <v>318</v>
      </c>
      <c r="C62" s="2" t="s">
        <v>319</v>
      </c>
      <c r="D62" s="2" t="s">
        <v>320</v>
      </c>
      <c r="E62" s="2" t="s">
        <v>321</v>
      </c>
      <c r="F62" s="3" t="s">
        <v>13</v>
      </c>
      <c r="G62" s="2" t="s">
        <v>14</v>
      </c>
      <c r="H62" s="2"/>
    </row>
    <row r="63" customFormat="false" ht="22.35" hidden="false" customHeight="false" outlineLevel="0" collapsed="false">
      <c r="A63" s="2" t="s">
        <v>322</v>
      </c>
      <c r="B63" s="2" t="s">
        <v>323</v>
      </c>
      <c r="C63" s="2" t="s">
        <v>324</v>
      </c>
      <c r="D63" s="2" t="s">
        <v>325</v>
      </c>
      <c r="E63" s="2" t="s">
        <v>326</v>
      </c>
      <c r="F63" s="3" t="s">
        <v>13</v>
      </c>
      <c r="G63" s="2" t="s">
        <v>14</v>
      </c>
      <c r="H63" s="2" t="s">
        <v>327</v>
      </c>
    </row>
    <row r="64" customFormat="false" ht="22.35" hidden="false" customHeight="false" outlineLevel="0" collapsed="false">
      <c r="A64" s="2" t="s">
        <v>328</v>
      </c>
      <c r="B64" s="2" t="s">
        <v>329</v>
      </c>
      <c r="C64" s="2" t="s">
        <v>330</v>
      </c>
      <c r="D64" s="2" t="s">
        <v>331</v>
      </c>
      <c r="E64" s="2" t="s">
        <v>332</v>
      </c>
      <c r="F64" s="3" t="s">
        <v>13</v>
      </c>
      <c r="G64" s="2" t="s">
        <v>14</v>
      </c>
      <c r="H64" s="2" t="s">
        <v>333</v>
      </c>
    </row>
    <row r="65" customFormat="false" ht="15" hidden="false" customHeight="false" outlineLevel="0" collapsed="false">
      <c r="A65" s="2" t="s">
        <v>334</v>
      </c>
      <c r="B65" s="2" t="s">
        <v>335</v>
      </c>
      <c r="C65" s="2" t="s">
        <v>336</v>
      </c>
      <c r="D65" s="2" t="s">
        <v>25</v>
      </c>
      <c r="E65" s="2" t="s">
        <v>67</v>
      </c>
      <c r="F65" s="4" t="s">
        <v>33</v>
      </c>
      <c r="G65" s="2" t="s">
        <v>27</v>
      </c>
      <c r="H65" s="2" t="s">
        <v>337</v>
      </c>
    </row>
    <row r="66" customFormat="false" ht="22.35" hidden="false" customHeight="false" outlineLevel="0" collapsed="false">
      <c r="A66" s="2" t="s">
        <v>338</v>
      </c>
      <c r="B66" s="2" t="s">
        <v>339</v>
      </c>
      <c r="C66" s="2" t="s">
        <v>340</v>
      </c>
      <c r="D66" s="2" t="s">
        <v>25</v>
      </c>
      <c r="E66" s="2" t="s">
        <v>82</v>
      </c>
      <c r="F66" s="3" t="s">
        <v>13</v>
      </c>
      <c r="G66" s="2" t="s">
        <v>27</v>
      </c>
      <c r="H66" s="2" t="s">
        <v>341</v>
      </c>
    </row>
    <row r="67" customFormat="false" ht="15" hidden="false" customHeight="false" outlineLevel="0" collapsed="false">
      <c r="A67" s="2" t="s">
        <v>342</v>
      </c>
      <c r="B67" s="2" t="s">
        <v>343</v>
      </c>
      <c r="C67" s="2" t="s">
        <v>344</v>
      </c>
      <c r="D67" s="2" t="s">
        <v>25</v>
      </c>
      <c r="E67" s="2" t="s">
        <v>316</v>
      </c>
      <c r="F67" s="3" t="s">
        <v>13</v>
      </c>
      <c r="G67" s="2" t="s">
        <v>27</v>
      </c>
      <c r="H67" s="2"/>
    </row>
    <row r="68" customFormat="false" ht="22.35" hidden="false" customHeight="false" outlineLevel="0" collapsed="false">
      <c r="A68" s="2" t="s">
        <v>345</v>
      </c>
      <c r="B68" s="2" t="s">
        <v>346</v>
      </c>
      <c r="C68" s="2" t="s">
        <v>347</v>
      </c>
      <c r="D68" s="2" t="s">
        <v>25</v>
      </c>
      <c r="E68" s="2" t="s">
        <v>270</v>
      </c>
      <c r="F68" s="3" t="s">
        <v>13</v>
      </c>
      <c r="G68" s="2" t="s">
        <v>27</v>
      </c>
      <c r="H68" s="2" t="s">
        <v>348</v>
      </c>
    </row>
    <row r="69" customFormat="false" ht="22.35" hidden="false" customHeight="false" outlineLevel="0" collapsed="false">
      <c r="A69" s="2" t="s">
        <v>349</v>
      </c>
      <c r="B69" s="2" t="s">
        <v>350</v>
      </c>
      <c r="C69" s="2" t="s">
        <v>351</v>
      </c>
      <c r="D69" s="2" t="s">
        <v>352</v>
      </c>
      <c r="E69" s="2" t="s">
        <v>353</v>
      </c>
      <c r="F69" s="3" t="s">
        <v>13</v>
      </c>
      <c r="G69" s="2" t="s">
        <v>27</v>
      </c>
      <c r="H69" s="2" t="s">
        <v>354</v>
      </c>
    </row>
    <row r="70" customFormat="false" ht="22.35" hidden="false" customHeight="false" outlineLevel="0" collapsed="false">
      <c r="A70" s="2" t="s">
        <v>355</v>
      </c>
      <c r="B70" s="2" t="s">
        <v>356</v>
      </c>
      <c r="C70" s="2" t="s">
        <v>25</v>
      </c>
      <c r="D70" s="2" t="s">
        <v>25</v>
      </c>
      <c r="E70" s="2" t="s">
        <v>102</v>
      </c>
      <c r="F70" s="5" t="s">
        <v>103</v>
      </c>
      <c r="G70" s="2" t="s">
        <v>27</v>
      </c>
      <c r="H70" s="2" t="s">
        <v>357</v>
      </c>
    </row>
    <row r="71" customFormat="false" ht="22.35" hidden="false" customHeight="false" outlineLevel="0" collapsed="false">
      <c r="A71" s="2" t="s">
        <v>358</v>
      </c>
      <c r="B71" s="2" t="s">
        <v>359</v>
      </c>
      <c r="C71" s="2" t="s">
        <v>360</v>
      </c>
      <c r="D71" s="2" t="s">
        <v>361</v>
      </c>
      <c r="E71" s="2" t="s">
        <v>32</v>
      </c>
      <c r="F71" s="3" t="s">
        <v>13</v>
      </c>
      <c r="G71" s="2" t="s">
        <v>14</v>
      </c>
      <c r="H71" s="2" t="s">
        <v>362</v>
      </c>
    </row>
    <row r="72" customFormat="false" ht="22.35" hidden="false" customHeight="false" outlineLevel="0" collapsed="false">
      <c r="A72" s="2" t="s">
        <v>363</v>
      </c>
      <c r="B72" s="2" t="s">
        <v>364</v>
      </c>
      <c r="C72" s="2" t="s">
        <v>365</v>
      </c>
      <c r="D72" s="2" t="s">
        <v>25</v>
      </c>
      <c r="E72" s="2" t="s">
        <v>366</v>
      </c>
      <c r="F72" s="4" t="s">
        <v>33</v>
      </c>
      <c r="G72" s="2" t="s">
        <v>27</v>
      </c>
      <c r="H72" s="2" t="s">
        <v>367</v>
      </c>
    </row>
    <row r="73" customFormat="false" ht="22.35" hidden="false" customHeight="false" outlineLevel="0" collapsed="false">
      <c r="A73" s="2" t="s">
        <v>368</v>
      </c>
      <c r="B73" s="2" t="s">
        <v>369</v>
      </c>
      <c r="C73" s="2" t="s">
        <v>370</v>
      </c>
      <c r="D73" s="2" t="s">
        <v>25</v>
      </c>
      <c r="E73" s="2" t="s">
        <v>371</v>
      </c>
      <c r="F73" s="4" t="s">
        <v>33</v>
      </c>
      <c r="G73" s="2" t="s">
        <v>27</v>
      </c>
      <c r="H73" s="2" t="s">
        <v>372</v>
      </c>
    </row>
    <row r="74" customFormat="false" ht="22.35" hidden="false" customHeight="false" outlineLevel="0" collapsed="false">
      <c r="A74" s="2" t="s">
        <v>373</v>
      </c>
      <c r="B74" s="2" t="s">
        <v>374</v>
      </c>
      <c r="C74" s="2" t="s">
        <v>375</v>
      </c>
      <c r="D74" s="2" t="s">
        <v>376</v>
      </c>
      <c r="E74" s="2" t="s">
        <v>377</v>
      </c>
      <c r="F74" s="3" t="s">
        <v>13</v>
      </c>
      <c r="G74" s="2" t="s">
        <v>14</v>
      </c>
      <c r="H74" s="2" t="s">
        <v>378</v>
      </c>
    </row>
    <row r="75" customFormat="false" ht="15" hidden="false" customHeight="false" outlineLevel="0" collapsed="false">
      <c r="A75" s="2" t="s">
        <v>379</v>
      </c>
      <c r="B75" s="2" t="s">
        <v>380</v>
      </c>
      <c r="C75" s="2" t="s">
        <v>25</v>
      </c>
      <c r="D75" s="2" t="s">
        <v>25</v>
      </c>
      <c r="E75" s="2" t="s">
        <v>217</v>
      </c>
      <c r="F75" s="5" t="s">
        <v>103</v>
      </c>
      <c r="G75" s="2" t="s">
        <v>27</v>
      </c>
      <c r="H75" s="2" t="s">
        <v>381</v>
      </c>
    </row>
    <row r="76" customFormat="false" ht="22.35" hidden="false" customHeight="false" outlineLevel="0" collapsed="false">
      <c r="A76" s="2" t="s">
        <v>382</v>
      </c>
      <c r="B76" s="2" t="s">
        <v>383</v>
      </c>
      <c r="C76" s="2" t="s">
        <v>384</v>
      </c>
      <c r="D76" s="2" t="s">
        <v>385</v>
      </c>
      <c r="E76" s="2" t="s">
        <v>386</v>
      </c>
      <c r="F76" s="4" t="s">
        <v>33</v>
      </c>
      <c r="G76" s="2" t="s">
        <v>14</v>
      </c>
      <c r="H76" s="2" t="s">
        <v>387</v>
      </c>
    </row>
    <row r="77" customFormat="false" ht="22.35" hidden="false" customHeight="false" outlineLevel="0" collapsed="false">
      <c r="A77" s="2" t="s">
        <v>388</v>
      </c>
      <c r="B77" s="2" t="s">
        <v>389</v>
      </c>
      <c r="C77" s="2" t="s">
        <v>390</v>
      </c>
      <c r="D77" s="2" t="s">
        <v>391</v>
      </c>
      <c r="E77" s="2" t="s">
        <v>392</v>
      </c>
      <c r="F77" s="3" t="s">
        <v>13</v>
      </c>
      <c r="G77" s="2" t="s">
        <v>14</v>
      </c>
      <c r="H77" s="2" t="s">
        <v>393</v>
      </c>
    </row>
    <row r="78" customFormat="false" ht="22.35" hidden="false" customHeight="false" outlineLevel="0" collapsed="false">
      <c r="A78" s="2" t="s">
        <v>394</v>
      </c>
      <c r="B78" s="2" t="s">
        <v>395</v>
      </c>
      <c r="C78" s="2" t="s">
        <v>396</v>
      </c>
      <c r="D78" s="2" t="s">
        <v>25</v>
      </c>
      <c r="E78" s="2" t="s">
        <v>397</v>
      </c>
      <c r="F78" s="3" t="s">
        <v>13</v>
      </c>
      <c r="G78" s="2" t="s">
        <v>27</v>
      </c>
      <c r="H78" s="2"/>
    </row>
    <row r="79" customFormat="false" ht="22.35" hidden="false" customHeight="false" outlineLevel="0" collapsed="false">
      <c r="A79" s="2" t="s">
        <v>398</v>
      </c>
      <c r="B79" s="2" t="s">
        <v>399</v>
      </c>
      <c r="C79" s="2" t="s">
        <v>400</v>
      </c>
      <c r="D79" s="2" t="s">
        <v>401</v>
      </c>
      <c r="E79" s="2" t="s">
        <v>67</v>
      </c>
      <c r="F79" s="3" t="s">
        <v>13</v>
      </c>
      <c r="G79" s="2" t="s">
        <v>40</v>
      </c>
      <c r="H79" s="2" t="s">
        <v>402</v>
      </c>
    </row>
    <row r="80" customFormat="false" ht="43.25" hidden="false" customHeight="false" outlineLevel="0" collapsed="false">
      <c r="A80" s="2" t="s">
        <v>403</v>
      </c>
      <c r="B80" s="2" t="s">
        <v>404</v>
      </c>
      <c r="C80" s="2" t="s">
        <v>405</v>
      </c>
      <c r="D80" s="2" t="s">
        <v>406</v>
      </c>
      <c r="E80" s="2" t="s">
        <v>407</v>
      </c>
      <c r="F80" s="4" t="s">
        <v>33</v>
      </c>
      <c r="G80" s="2" t="s">
        <v>14</v>
      </c>
      <c r="H80" s="2" t="s">
        <v>408</v>
      </c>
    </row>
    <row r="81" customFormat="false" ht="15" hidden="false" customHeight="false" outlineLevel="0" collapsed="false">
      <c r="A81" s="2" t="s">
        <v>409</v>
      </c>
      <c r="B81" s="2" t="s">
        <v>410</v>
      </c>
      <c r="C81" s="2" t="s">
        <v>25</v>
      </c>
      <c r="D81" s="2" t="s">
        <v>25</v>
      </c>
      <c r="E81" s="2" t="s">
        <v>217</v>
      </c>
      <c r="F81" s="5" t="s">
        <v>103</v>
      </c>
      <c r="G81" s="2" t="s">
        <v>27</v>
      </c>
      <c r="H81" s="2" t="s">
        <v>411</v>
      </c>
    </row>
    <row r="82" customFormat="false" ht="15" hidden="false" customHeight="false" outlineLevel="0" collapsed="false">
      <c r="A82" s="2" t="s">
        <v>412</v>
      </c>
      <c r="B82" s="2" t="s">
        <v>413</v>
      </c>
      <c r="C82" s="2" t="s">
        <v>414</v>
      </c>
      <c r="D82" s="2" t="s">
        <v>25</v>
      </c>
      <c r="E82" s="2" t="s">
        <v>415</v>
      </c>
      <c r="F82" s="4" t="s">
        <v>33</v>
      </c>
      <c r="G82" s="2" t="s">
        <v>27</v>
      </c>
      <c r="H82" s="2"/>
    </row>
    <row r="83" customFormat="false" ht="22.35" hidden="false" customHeight="false" outlineLevel="0" collapsed="false">
      <c r="A83" s="2" t="s">
        <v>416</v>
      </c>
      <c r="B83" s="2" t="s">
        <v>417</v>
      </c>
      <c r="C83" s="2" t="s">
        <v>418</v>
      </c>
      <c r="D83" s="2" t="s">
        <v>419</v>
      </c>
      <c r="E83" s="2" t="s">
        <v>82</v>
      </c>
      <c r="F83" s="4" t="s">
        <v>33</v>
      </c>
      <c r="G83" s="2" t="s">
        <v>40</v>
      </c>
      <c r="H83" s="2"/>
    </row>
    <row r="84" customFormat="false" ht="22.35" hidden="false" customHeight="false" outlineLevel="0" collapsed="false">
      <c r="A84" s="2" t="s">
        <v>420</v>
      </c>
      <c r="B84" s="2" t="s">
        <v>421</v>
      </c>
      <c r="C84" s="2" t="s">
        <v>422</v>
      </c>
      <c r="D84" s="2" t="s">
        <v>423</v>
      </c>
      <c r="E84" s="2" t="s">
        <v>424</v>
      </c>
      <c r="F84" s="3" t="s">
        <v>13</v>
      </c>
      <c r="G84" s="2" t="s">
        <v>14</v>
      </c>
      <c r="H84" s="2" t="s">
        <v>425</v>
      </c>
    </row>
    <row r="85" customFormat="false" ht="15" hidden="false" customHeight="false" outlineLevel="0" collapsed="false">
      <c r="A85" s="2" t="s">
        <v>426</v>
      </c>
      <c r="B85" s="2" t="s">
        <v>427</v>
      </c>
      <c r="C85" s="2" t="s">
        <v>428</v>
      </c>
      <c r="D85" s="2" t="s">
        <v>429</v>
      </c>
      <c r="E85" s="2" t="s">
        <v>430</v>
      </c>
      <c r="F85" s="4" t="s">
        <v>33</v>
      </c>
      <c r="G85" s="2" t="s">
        <v>40</v>
      </c>
      <c r="H85" s="2"/>
    </row>
    <row r="86" customFormat="false" ht="43.25" hidden="false" customHeight="false" outlineLevel="0" collapsed="false">
      <c r="A86" s="2" t="s">
        <v>431</v>
      </c>
      <c r="B86" s="2" t="s">
        <v>432</v>
      </c>
      <c r="C86" s="2" t="s">
        <v>433</v>
      </c>
      <c r="D86" s="2" t="s">
        <v>434</v>
      </c>
      <c r="E86" s="2" t="s">
        <v>435</v>
      </c>
      <c r="F86" s="3" t="s">
        <v>13</v>
      </c>
      <c r="G86" s="2" t="s">
        <v>14</v>
      </c>
      <c r="H86" s="2" t="s">
        <v>436</v>
      </c>
    </row>
    <row r="87" customFormat="false" ht="22.35" hidden="false" customHeight="false" outlineLevel="0" collapsed="false">
      <c r="A87" s="2" t="s">
        <v>437</v>
      </c>
      <c r="B87" s="2" t="s">
        <v>438</v>
      </c>
      <c r="C87" s="2" t="s">
        <v>439</v>
      </c>
      <c r="D87" s="2" t="s">
        <v>25</v>
      </c>
      <c r="E87" s="2" t="s">
        <v>415</v>
      </c>
      <c r="F87" s="4" t="s">
        <v>33</v>
      </c>
      <c r="G87" s="2" t="s">
        <v>27</v>
      </c>
      <c r="H87" s="2" t="s">
        <v>440</v>
      </c>
    </row>
    <row r="88" customFormat="false" ht="22.35" hidden="false" customHeight="false" outlineLevel="0" collapsed="false">
      <c r="A88" s="2" t="s">
        <v>441</v>
      </c>
      <c r="B88" s="2" t="s">
        <v>442</v>
      </c>
      <c r="C88" s="2" t="s">
        <v>443</v>
      </c>
      <c r="D88" s="2" t="s">
        <v>25</v>
      </c>
      <c r="E88" s="2" t="s">
        <v>444</v>
      </c>
      <c r="F88" s="4" t="s">
        <v>33</v>
      </c>
      <c r="G88" s="2" t="s">
        <v>27</v>
      </c>
      <c r="H88" s="2" t="s">
        <v>445</v>
      </c>
    </row>
    <row r="89" customFormat="false" ht="15" hidden="false" customHeight="false" outlineLevel="0" collapsed="false">
      <c r="A89" s="2" t="s">
        <v>446</v>
      </c>
      <c r="B89" s="2" t="s">
        <v>447</v>
      </c>
      <c r="C89" s="2" t="s">
        <v>448</v>
      </c>
      <c r="D89" s="2" t="s">
        <v>449</v>
      </c>
      <c r="E89" s="2" t="s">
        <v>415</v>
      </c>
      <c r="F89" s="3" t="s">
        <v>13</v>
      </c>
      <c r="G89" s="2" t="s">
        <v>14</v>
      </c>
      <c r="H89" s="2" t="s">
        <v>450</v>
      </c>
    </row>
    <row r="90" customFormat="false" ht="22.35" hidden="false" customHeight="false" outlineLevel="0" collapsed="false">
      <c r="A90" s="2" t="s">
        <v>451</v>
      </c>
      <c r="B90" s="2" t="s">
        <v>452</v>
      </c>
      <c r="C90" s="2" t="s">
        <v>453</v>
      </c>
      <c r="D90" s="2" t="s">
        <v>454</v>
      </c>
      <c r="E90" s="2" t="s">
        <v>415</v>
      </c>
      <c r="F90" s="4" t="s">
        <v>33</v>
      </c>
      <c r="G90" s="2" t="s">
        <v>40</v>
      </c>
      <c r="H90" s="2" t="s">
        <v>455</v>
      </c>
    </row>
    <row r="91" customFormat="false" ht="15" hidden="false" customHeight="false" outlineLevel="0" collapsed="false">
      <c r="A91" s="2" t="s">
        <v>456</v>
      </c>
      <c r="B91" s="2" t="s">
        <v>457</v>
      </c>
      <c r="C91" s="2" t="s">
        <v>458</v>
      </c>
      <c r="D91" s="2" t="s">
        <v>459</v>
      </c>
      <c r="E91" s="2" t="s">
        <v>39</v>
      </c>
      <c r="F91" s="3" t="s">
        <v>13</v>
      </c>
      <c r="G91" s="2" t="s">
        <v>27</v>
      </c>
      <c r="H91" s="2"/>
    </row>
    <row r="92" customFormat="false" ht="15" hidden="false" customHeight="false" outlineLevel="0" collapsed="false">
      <c r="A92" s="2" t="s">
        <v>460</v>
      </c>
      <c r="B92" s="2" t="s">
        <v>461</v>
      </c>
      <c r="C92" s="2" t="s">
        <v>462</v>
      </c>
      <c r="D92" s="2" t="s">
        <v>25</v>
      </c>
      <c r="E92" s="2" t="s">
        <v>415</v>
      </c>
      <c r="F92" s="4" t="s">
        <v>33</v>
      </c>
      <c r="G92" s="2" t="s">
        <v>27</v>
      </c>
      <c r="H92" s="2"/>
    </row>
    <row r="93" customFormat="false" ht="22.35" hidden="false" customHeight="false" outlineLevel="0" collapsed="false">
      <c r="A93" s="2" t="s">
        <v>463</v>
      </c>
      <c r="B93" s="2" t="s">
        <v>464</v>
      </c>
      <c r="C93" s="2" t="s">
        <v>465</v>
      </c>
      <c r="D93" s="2" t="s">
        <v>466</v>
      </c>
      <c r="E93" s="2" t="s">
        <v>124</v>
      </c>
      <c r="F93" s="3" t="s">
        <v>13</v>
      </c>
      <c r="G93" s="2" t="s">
        <v>40</v>
      </c>
      <c r="H93" s="2" t="s">
        <v>467</v>
      </c>
    </row>
    <row r="94" customFormat="false" ht="22.35" hidden="false" customHeight="false" outlineLevel="0" collapsed="false">
      <c r="A94" s="2" t="s">
        <v>468</v>
      </c>
      <c r="B94" s="2" t="s">
        <v>469</v>
      </c>
      <c r="C94" s="2" t="s">
        <v>470</v>
      </c>
      <c r="D94" s="2" t="s">
        <v>471</v>
      </c>
      <c r="E94" s="2" t="s">
        <v>39</v>
      </c>
      <c r="F94" s="4" t="s">
        <v>33</v>
      </c>
      <c r="G94" s="2" t="s">
        <v>14</v>
      </c>
      <c r="H94" s="2" t="s">
        <v>472</v>
      </c>
    </row>
    <row r="95" customFormat="false" ht="15" hidden="false" customHeight="false" outlineLevel="0" collapsed="false">
      <c r="A95" s="2" t="s">
        <v>473</v>
      </c>
      <c r="B95" s="2" t="s">
        <v>474</v>
      </c>
      <c r="C95" s="2" t="s">
        <v>475</v>
      </c>
      <c r="D95" s="2" t="s">
        <v>476</v>
      </c>
      <c r="E95" s="2" t="s">
        <v>39</v>
      </c>
      <c r="F95" s="4" t="s">
        <v>33</v>
      </c>
      <c r="G95" s="2" t="s">
        <v>40</v>
      </c>
      <c r="H95" s="2" t="s">
        <v>472</v>
      </c>
    </row>
    <row r="96" customFormat="false" ht="22.35" hidden="false" customHeight="false" outlineLevel="0" collapsed="false">
      <c r="A96" s="2" t="s">
        <v>477</v>
      </c>
      <c r="B96" s="2" t="s">
        <v>478</v>
      </c>
      <c r="C96" s="2" t="s">
        <v>479</v>
      </c>
      <c r="D96" s="2" t="s">
        <v>480</v>
      </c>
      <c r="E96" s="2" t="s">
        <v>39</v>
      </c>
      <c r="F96" s="4" t="s">
        <v>33</v>
      </c>
      <c r="G96" s="2" t="s">
        <v>27</v>
      </c>
      <c r="H96" s="2"/>
    </row>
  </sheetData>
  <autoFilter ref="A1:H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</cols>
  <sheetData>
    <row r="1" customFormat="false" ht="29.85" hidden="false" customHeight="false" outlineLevel="0" collapsed="false">
      <c r="A1" s="6" t="s">
        <v>481</v>
      </c>
      <c r="B1" s="7"/>
    </row>
    <row r="2" customFormat="false" ht="15" hidden="false" customHeight="false" outlineLevel="0" collapsed="false">
      <c r="A2" s="7"/>
      <c r="B2" s="7"/>
    </row>
    <row r="3" customFormat="false" ht="15" hidden="false" customHeight="false" outlineLevel="0" collapsed="false">
      <c r="A3" s="8" t="s">
        <v>482</v>
      </c>
      <c r="B3" s="8" t="s">
        <v>483</v>
      </c>
    </row>
    <row r="4" customFormat="false" ht="15" hidden="false" customHeight="false" outlineLevel="0" collapsed="false">
      <c r="A4" s="7" t="s">
        <v>13</v>
      </c>
      <c r="B4" s="7" t="n">
        <f aca="false">COUNTIF(Counties!$F$2:$F$96,A4)</f>
        <v>57</v>
      </c>
    </row>
    <row r="5" customFormat="false" ht="15" hidden="false" customHeight="false" outlineLevel="0" collapsed="false">
      <c r="A5" s="7" t="s">
        <v>33</v>
      </c>
      <c r="B5" s="7" t="n">
        <f aca="false">COUNTIF(Counties!$F$2:$F$96,A5)</f>
        <v>29</v>
      </c>
    </row>
    <row r="6" customFormat="false" ht="15" hidden="false" customHeight="false" outlineLevel="0" collapsed="false">
      <c r="A6" s="7" t="s">
        <v>103</v>
      </c>
      <c r="B6" s="7" t="n">
        <f aca="false">COUNTIF(Counties!$F$2:$F$96,A6)</f>
        <v>9</v>
      </c>
    </row>
    <row r="7" customFormat="false" ht="15" hidden="false" customHeight="false" outlineLevel="0" collapsed="false">
      <c r="A7" s="7" t="s">
        <v>484</v>
      </c>
      <c r="B7" s="7" t="n">
        <f aca="false">SUM(B4:B6)</f>
        <v>95</v>
      </c>
    </row>
    <row r="8" customFormat="false" ht="15" hidden="false" customHeight="false" outlineLevel="0" collapsed="false">
      <c r="A8" s="7"/>
      <c r="B8" s="7"/>
    </row>
    <row r="9" customFormat="false" ht="15" hidden="false" customHeight="false" outlineLevel="0" collapsed="false">
      <c r="A9" s="8" t="s">
        <v>6</v>
      </c>
      <c r="B9" s="8" t="s">
        <v>483</v>
      </c>
    </row>
    <row r="10" customFormat="false" ht="15" hidden="false" customHeight="false" outlineLevel="0" collapsed="false">
      <c r="A10" s="7" t="s">
        <v>14</v>
      </c>
      <c r="B10" s="7" t="n">
        <f aca="false">COUNTIF(Counties!$G$2:$G$96,A10)</f>
        <v>30</v>
      </c>
    </row>
    <row r="11" customFormat="false" ht="15" hidden="false" customHeight="false" outlineLevel="0" collapsed="false">
      <c r="A11" s="7" t="s">
        <v>40</v>
      </c>
      <c r="B11" s="7" t="n">
        <f aca="false">COUNTIF(Counties!$G$2:$G$96,A11)</f>
        <v>13</v>
      </c>
    </row>
    <row r="12" customFormat="false" ht="15" hidden="false" customHeight="false" outlineLevel="0" collapsed="false">
      <c r="A12" s="7" t="s">
        <v>27</v>
      </c>
      <c r="B12" s="7" t="n">
        <f aca="false">COUNTIF(Counties!$G$2:$G$96,A12)</f>
        <v>52</v>
      </c>
    </row>
    <row r="13" customFormat="false" ht="15" hidden="false" customHeight="false" outlineLevel="0" collapsed="false">
      <c r="A13" s="7" t="s">
        <v>484</v>
      </c>
      <c r="B13" s="7" t="n">
        <f aca="false">SUM(B10:B12)</f>
        <v>95</v>
      </c>
    </row>
    <row r="14" customFormat="false" ht="15" hidden="false" customHeight="false" outlineLevel="0" collapsed="false">
      <c r="A14" s="7"/>
      <c r="B14" s="7"/>
    </row>
    <row r="15" customFormat="false" ht="15" hidden="false" customHeight="false" outlineLevel="0" collapsed="false">
      <c r="A15" s="8" t="s">
        <v>485</v>
      </c>
      <c r="B15" s="8" t="s">
        <v>483</v>
      </c>
    </row>
    <row r="16" customFormat="false" ht="15" hidden="false" customHeight="false" outlineLevel="0" collapsed="false">
      <c r="A16" s="7" t="s">
        <v>39</v>
      </c>
      <c r="B16" s="7" t="n">
        <f aca="false">COUNTIF(Counties!$E$2:$E$96,"*CivicPlus*")</f>
        <v>7</v>
      </c>
    </row>
    <row r="17" customFormat="false" ht="15" hidden="false" customHeight="false" outlineLevel="0" collapsed="false">
      <c r="A17" s="7" t="s">
        <v>67</v>
      </c>
      <c r="B17" s="7" t="n">
        <f aca="false">COUNTIF(Counties!$E$2:$E$96,"*Revize*")</f>
        <v>7</v>
      </c>
    </row>
    <row r="18" customFormat="false" ht="15" hidden="false" customHeight="false" outlineLevel="0" collapsed="false">
      <c r="A18" s="7" t="s">
        <v>82</v>
      </c>
      <c r="B18" s="7" t="n">
        <f aca="false">COUNTIF(Counties!$E$2:$E$96,"*WordPress*")</f>
        <v>26</v>
      </c>
    </row>
    <row r="19" customFormat="false" ht="15" hidden="false" customHeight="false" outlineLevel="0" collapsed="false">
      <c r="A19" s="7" t="s">
        <v>486</v>
      </c>
      <c r="B19" s="7" t="n">
        <f aca="false">COUNTIF(Counties!$E$2:$E$96,"*BidNet*")</f>
        <v>3</v>
      </c>
    </row>
    <row r="20" customFormat="false" ht="15" hidden="false" customHeight="false" outlineLevel="0" collapsed="false">
      <c r="A20" s="7" t="s">
        <v>487</v>
      </c>
      <c r="B20" s="7" t="n">
        <f aca="false">COUNTIF(Counties!$E$2:$E$96,"*Vendor Registry*")+COUNTIF(Counties!$E$2:$E$96,"*PlanetBids*")</f>
        <v>3</v>
      </c>
    </row>
    <row r="21" customFormat="false" ht="15" hidden="false" customHeight="false" outlineLevel="0" collapsed="false">
      <c r="A21" s="7" t="s">
        <v>488</v>
      </c>
      <c r="B21" s="7" t="n">
        <f aca="false">COUNTIF(Counties!$E$2:$E$96,"*Bonfire*")</f>
        <v>1</v>
      </c>
    </row>
    <row r="22" customFormat="false" ht="15" hidden="false" customHeight="false" outlineLevel="0" collapsed="false">
      <c r="A22" s="7" t="s">
        <v>489</v>
      </c>
      <c r="B22" s="7" t="n">
        <f aca="false">COUNTIF(Counties!$E$2:$E$96,"*Legistar*")</f>
        <v>1</v>
      </c>
    </row>
    <row r="23" customFormat="false" ht="15" hidden="false" customHeight="false" outlineLevel="0" collapsed="false">
      <c r="A23" s="7" t="s">
        <v>490</v>
      </c>
      <c r="B23" s="7" t="n">
        <f aca="false">COUNTIF(Counties!$E$2:$E$96,"*Dropbox*")+COUNTIF(Counties!$E$2:$E$96,"*Google Drive*")</f>
        <v>6</v>
      </c>
    </row>
    <row r="24" customFormat="false" ht="15" hidden="false" customHeight="false" outlineLevel="0" collapsed="false">
      <c r="A24" s="7"/>
      <c r="B24" s="7"/>
    </row>
    <row r="25" customFormat="false" ht="15" hidden="false" customHeight="false" outlineLevel="0" collapsed="false">
      <c r="A25" s="8" t="s">
        <v>491</v>
      </c>
      <c r="B25" s="7"/>
    </row>
    <row r="26" customFormat="false" ht="61.5" hidden="false" customHeight="true" outlineLevel="0" collapsed="false">
      <c r="A26" s="9" t="s">
        <v>492</v>
      </c>
      <c r="B26" s="9"/>
    </row>
    <row r="27" customFormat="false" ht="61.5" hidden="false" customHeight="true" outlineLevel="0" collapsed="false">
      <c r="A27" s="9" t="s">
        <v>493</v>
      </c>
      <c r="B27" s="9"/>
    </row>
    <row r="28" customFormat="false" ht="61.5" hidden="false" customHeight="true" outlineLevel="0" collapsed="false">
      <c r="A28" s="9" t="s">
        <v>494</v>
      </c>
      <c r="B28" s="9"/>
    </row>
    <row r="29" customFormat="false" ht="61.5" hidden="false" customHeight="true" outlineLevel="0" collapsed="false">
      <c r="A29" s="9" t="s">
        <v>495</v>
      </c>
      <c r="B29" s="9"/>
    </row>
    <row r="30" customFormat="false" ht="15" hidden="false" customHeight="false" outlineLevel="0" collapsed="false">
      <c r="A30" s="7" t="s">
        <v>496</v>
      </c>
      <c r="B30" s="7"/>
    </row>
  </sheetData>
  <mergeCells count="4">
    <mergeCell ref="A26:B26"/>
    <mergeCell ref="A27:B27"/>
    <mergeCell ref="A28:B28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2026-10-13T18:33:56Z</dcterms:created>
  <dc:creator>openpyxl</dc:creator>
  <dc:description/>
  <dc:language>en-US</dc:language>
  <cp:lastModifiedBy/>
  <dcterms:modified xsi:type="dcterms:W3CDTF">2026-10-13T18:33:56Z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